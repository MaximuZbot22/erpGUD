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 IN vs OUT" sheetId="1" state="visible" r:id="rId1"/>
    <sheet xmlns:r="http://schemas.openxmlformats.org/officeDocument/2006/relationships" name="Bank Transactions (Complete)" sheetId="2" state="visible" r:id="rId2"/>
    <sheet xmlns:r="http://schemas.openxmlformats.org/officeDocument/2006/relationships" name="Invoices Issued (Sales)" sheetId="3" state="visible" r:id="rId3"/>
    <sheet xmlns:r="http://schemas.openxmlformats.org/officeDocument/2006/relationships" name="Audit Reconciliation &amp; T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3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9.5"/>
    </font>
    <font>
      <name val="Segoe UI"/>
      <b val="1"/>
      <color rgb="00475569"/>
      <sz val="8.5"/>
    </font>
    <font>
      <name val="Segoe UI"/>
      <b val="1"/>
      <color rgb="001E3A8A"/>
      <sz val="12.5"/>
    </font>
    <font>
      <name val="Segoe UI"/>
      <b val="1"/>
      <color rgb="00065F46"/>
      <sz val="11"/>
    </font>
    <font>
      <name val="Segoe UI"/>
      <b val="1"/>
      <color rgb="00FFFFFF"/>
      <sz val="10.5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991B1B"/>
      <sz val="11"/>
    </font>
    <font>
      <name val="Segoe UI"/>
      <color rgb="0094A3B8"/>
      <sz val="9.5"/>
    </font>
    <font>
      <name val="Segoe UI"/>
      <b val="1"/>
      <color rgb="000F766E"/>
      <sz val="9.5"/>
    </font>
    <font>
      <name val="Segoe UI"/>
      <b val="1"/>
      <color rgb="001E3A8A"/>
      <sz val="11"/>
    </font>
  </fonts>
  <fills count="1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991B1B"/>
        <bgColor rgb="00991B1B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ECFDF5"/>
        <bgColor rgb="00ECFDF5"/>
      </patternFill>
    </fill>
    <fill>
      <patternFill patternType="solid">
        <fgColor rgb="000F766E"/>
        <bgColor rgb="000F766E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1E3A8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8" fillId="6" borderId="2" pivotButton="0" quotePrefix="0" xfId="0"/>
    <xf numFmtId="164" fontId="8" fillId="6" borderId="2" applyAlignment="1" pivotButton="0" quotePrefix="0" xfId="0">
      <alignment horizontal="right" vertical="center"/>
    </xf>
    <xf numFmtId="0" fontId="9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0" fontId="8" fillId="6" borderId="2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right" vertical="center"/>
    </xf>
    <xf numFmtId="164" fontId="7" fillId="11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0" pivotButton="0" quotePrefix="0" xfId="0"/>
    <xf numFmtId="0" fontId="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6" customWidth="1" min="2" max="2"/>
    <col width="35" customWidth="1" min="3" max="3"/>
    <col width="25" customWidth="1" min="4" max="4"/>
    <col width="22" customWidth="1" min="5" max="5"/>
    <col width="45" customWidth="1" min="6" max="6"/>
    <col width="18" customWidth="1" min="7" max="7"/>
    <col width="38" customWidth="1" min="8" max="8"/>
  </cols>
  <sheetData>
    <row r="1" ht="24" customHeight="1">
      <c r="A1" s="1" t="inlineStr">
        <is>
          <t>JAB MEDIA LAB  |  PAYMENTS IN (PDF INVOICES) VS PAYMENTS OUT (BANK WITHDRAWALS)</t>
        </is>
      </c>
    </row>
    <row r="2" ht="18" customHeight="1">
      <c r="A2" s="2" t="inlineStr">
        <is>
          <t>August 2026 Executive Financial Summary  |  GSTIN: 32AAVFJ8263F1Z0  |  HDFC A/C: 50200113742475</t>
        </is>
      </c>
    </row>
    <row r="4" ht="18" customHeight="1">
      <c r="A4" s="3" t="inlineStr">
        <is>
          <t>TOTAL BILLED TO CLIENTS (PDF INVOICES)</t>
        </is>
      </c>
      <c r="B4" s="4" t="n"/>
      <c r="C4" s="3" t="inlineStr">
        <is>
          <t>TOTAL MONEY RECEIVED IN BANK</t>
        </is>
      </c>
      <c r="D4" s="4" t="n"/>
      <c r="E4" s="3" t="inlineStr">
        <is>
          <t>TOTAL MONEY PAID OUT (BANK WITHDRAWALS)</t>
        </is>
      </c>
      <c r="F4" s="4" t="n"/>
      <c r="G4" s="3" t="inlineStr">
        <is>
          <t>BANK CLOSING BALANCE (31/08/2026)</t>
        </is>
      </c>
      <c r="H4" s="4" t="n"/>
    </row>
    <row r="5" ht="24" customHeight="1">
      <c r="A5" s="5">
        <f>SUM(E9:E13)</f>
        <v/>
      </c>
      <c r="B5" s="4" t="n"/>
      <c r="C5" s="5" t="n">
        <v>150200</v>
      </c>
      <c r="D5" s="4" t="n"/>
      <c r="E5" s="5" t="n">
        <v>267331.82</v>
      </c>
      <c r="F5" s="4" t="n"/>
      <c r="G5" s="5" t="n">
        <v>139953.9</v>
      </c>
      <c r="H5" s="4" t="n"/>
    </row>
    <row r="7">
      <c r="A7" s="6" t="inlineStr">
        <is>
          <t>PART 1: PAYMENTS MADE TO THE COMPANY (SALES INVOICES &amp; CLIENT COLLECTIONS)</t>
        </is>
      </c>
    </row>
    <row r="8" ht="25" customHeight="1">
      <c r="A8" s="7" t="inlineStr">
        <is>
          <t>Invoice No.</t>
        </is>
      </c>
      <c r="B8" s="7" t="inlineStr">
        <is>
          <t>Invoice Date</t>
        </is>
      </c>
      <c r="C8" s="7" t="inlineStr">
        <is>
          <t>Client / Customer Name</t>
        </is>
      </c>
      <c r="D8" s="7" t="inlineStr">
        <is>
          <t>Client GSTIN</t>
        </is>
      </c>
      <c r="E8" s="7" t="inlineStr">
        <is>
          <t>Billed Amount (Invoice)</t>
        </is>
      </c>
      <c r="F8" s="7" t="inlineStr">
        <is>
          <t>Bank Received Amount</t>
        </is>
      </c>
      <c r="G8" s="7" t="inlineStr">
        <is>
          <t>TDS Deducted</t>
        </is>
      </c>
      <c r="H8" s="7" t="inlineStr">
        <is>
          <t>Payment Status in August</t>
        </is>
      </c>
    </row>
    <row r="9" ht="21" customHeight="1">
      <c r="A9" s="8" t="inlineStr">
        <is>
          <t>JAB/2026/WG/005</t>
        </is>
      </c>
      <c r="B9" s="8" t="inlineStr">
        <is>
          <t>01/08/2026</t>
        </is>
      </c>
      <c r="C9" s="9" t="inlineStr">
        <is>
          <t>Wellgenome Biotechnology Private Limited</t>
        </is>
      </c>
      <c r="D9" s="8" t="inlineStr">
        <is>
          <t>-</t>
        </is>
      </c>
      <c r="E9" s="10" t="n">
        <v>35400</v>
      </c>
      <c r="F9" s="10" t="n">
        <v>34800</v>
      </c>
      <c r="G9" s="10" t="n">
        <v>600</v>
      </c>
      <c r="H9" s="9" t="inlineStr">
        <is>
          <t>Received on 27/08 (₹600 TDS deducted)</t>
        </is>
      </c>
    </row>
    <row r="10" ht="21" customHeight="1">
      <c r="A10" s="11" t="inlineStr">
        <is>
          <t>JAB/2026/WS/006</t>
        </is>
      </c>
      <c r="B10" s="11" t="inlineStr">
        <is>
          <t>01/08/2026</t>
        </is>
      </c>
      <c r="C10" s="12" t="inlineStr">
        <is>
          <t>Wellness Solutions, Pvt, Ltd</t>
        </is>
      </c>
      <c r="D10" s="11" t="inlineStr">
        <is>
          <t>-</t>
        </is>
      </c>
      <c r="E10" s="13" t="n">
        <v>35400</v>
      </c>
      <c r="F10" s="13" t="n">
        <v>0</v>
      </c>
      <c r="G10" s="13" t="n">
        <v>0</v>
      </c>
      <c r="H10" s="12" t="inlineStr">
        <is>
          <t>Unpaid in August (Debtor Receivable)</t>
        </is>
      </c>
    </row>
    <row r="11" ht="21" customHeight="1">
      <c r="A11" s="8" t="inlineStr">
        <is>
          <t>JAB/2026/ALS EXP/03</t>
        </is>
      </c>
      <c r="B11" s="8" t="inlineStr">
        <is>
          <t>01/08/2026</t>
        </is>
      </c>
      <c r="C11" s="9" t="inlineStr">
        <is>
          <t>Al Sajid Mechanical Equipment LLC (UAE)</t>
        </is>
      </c>
      <c r="D11" s="8" t="inlineStr">
        <is>
          <t>Foreign (UAE)</t>
        </is>
      </c>
      <c r="E11" s="10" t="n">
        <v>20000</v>
      </c>
      <c r="F11" s="10" t="n">
        <v>40000</v>
      </c>
      <c r="G11" s="10" t="n">
        <v>0</v>
      </c>
      <c r="H11" s="9" t="inlineStr">
        <is>
          <t>Received on 12/08 (₹40,000 for 2 months)</t>
        </is>
      </c>
    </row>
    <row r="12" ht="21" customHeight="1">
      <c r="A12" s="11" t="inlineStr">
        <is>
          <t>JAB-2026-NIHR-010</t>
        </is>
      </c>
      <c r="B12" s="11" t="inlineStr">
        <is>
          <t>11/08/2026</t>
        </is>
      </c>
      <c r="C12" s="12" t="inlineStr">
        <is>
          <t>NIHARA RESORTS AND SPA</t>
        </is>
      </c>
      <c r="D12" s="11" t="inlineStr">
        <is>
          <t>32AAGCB0650E1ZC</t>
        </is>
      </c>
      <c r="E12" s="13" t="n">
        <v>165000</v>
      </c>
      <c r="F12" s="13" t="n">
        <v>0</v>
      </c>
      <c r="G12" s="13" t="n">
        <v>0</v>
      </c>
      <c r="H12" s="12" t="inlineStr">
        <is>
          <t>Unpaid in August (Debtor Receivable)</t>
        </is>
      </c>
    </row>
    <row r="13" ht="21" customHeight="1">
      <c r="A13" s="8" t="inlineStr">
        <is>
          <t>JAB-2026-NIHR-009</t>
        </is>
      </c>
      <c r="B13" s="8" t="inlineStr">
        <is>
          <t>20/08/2026</t>
        </is>
      </c>
      <c r="C13" s="9" t="inlineStr">
        <is>
          <t>NIHARA RESORTS AND SPA</t>
        </is>
      </c>
      <c r="D13" s="8" t="inlineStr">
        <is>
          <t>32AAGCB0650E1ZC</t>
        </is>
      </c>
      <c r="E13" s="10" t="n">
        <v>76700</v>
      </c>
      <c r="F13" s="10" t="n">
        <v>75400</v>
      </c>
      <c r="G13" s="10" t="n">
        <v>1300</v>
      </c>
      <c r="H13" s="9" t="inlineStr">
        <is>
          <t>Received on 24/08 (₹1,300 TDS deducted)</t>
        </is>
      </c>
    </row>
    <row r="14">
      <c r="A14" s="14" t="inlineStr">
        <is>
          <t>Total Invoiced / Received</t>
        </is>
      </c>
      <c r="B14" s="14" t="n"/>
      <c r="C14" s="14" t="n"/>
      <c r="D14" s="14" t="n"/>
      <c r="E14" s="15">
        <f>SUM(E9:E13)</f>
        <v/>
      </c>
      <c r="F14" s="15">
        <f>SUM(F9:F13)</f>
        <v/>
      </c>
      <c r="G14" s="15">
        <f>SUM(G9:G13)</f>
        <v/>
      </c>
      <c r="H14" s="14" t="n"/>
    </row>
    <row r="16">
      <c r="A16" s="16" t="inlineStr">
        <is>
          <t>PART 2: PAYMENTS MADE FROM THE COMPANY (ALL BANK EXPENSES, SALARIES &amp; OUTFLOWS)</t>
        </is>
      </c>
    </row>
    <row r="17" ht="25" customHeight="1">
      <c r="A17" s="17" t="inlineStr">
        <is>
          <t>Payment Date</t>
        </is>
      </c>
      <c r="B17" s="17" t="inlineStr">
        <is>
          <t>Payee / Beneficiary Name</t>
        </is>
      </c>
      <c r="C17" s="17" t="inlineStr">
        <is>
          <t>Expense Category</t>
        </is>
      </c>
      <c r="D17" s="17" t="inlineStr">
        <is>
          <t>Payment Mode / Bank Ref</t>
        </is>
      </c>
      <c r="E17" s="17" t="inlineStr">
        <is>
          <t>Amount Paid (DR)</t>
        </is>
      </c>
      <c r="F17" s="17" t="inlineStr">
        <is>
          <t>Description / Purpose</t>
        </is>
      </c>
    </row>
    <row r="18" ht="20" customHeight="1">
      <c r="A18" s="18" t="inlineStr">
        <is>
          <t>05/08/26</t>
        </is>
      </c>
      <c r="B18" s="19" t="inlineStr">
        <is>
          <t>Gokul G</t>
        </is>
      </c>
      <c r="C18" s="19" t="inlineStr">
        <is>
          <t>Salary Expense</t>
        </is>
      </c>
      <c r="D18" s="18" t="inlineStr">
        <is>
          <t>NEFT (HDFCH01174130102)</t>
        </is>
      </c>
      <c r="E18" s="20" t="n">
        <v>45000</v>
      </c>
      <c r="F18" s="19" t="inlineStr">
        <is>
          <t>July 2026 Staff Salary</t>
        </is>
      </c>
    </row>
    <row r="19" ht="20" customHeight="1">
      <c r="A19" s="18" t="inlineStr">
        <is>
          <t>05/08/26</t>
        </is>
      </c>
      <c r="B19" s="19" t="inlineStr">
        <is>
          <t>Sankalp Sunil</t>
        </is>
      </c>
      <c r="C19" s="19" t="inlineStr">
        <is>
          <t>Salary Expense</t>
        </is>
      </c>
      <c r="D19" s="18" t="inlineStr">
        <is>
          <t>NEFT (HDFCH01174135028)</t>
        </is>
      </c>
      <c r="E19" s="20" t="n">
        <v>50000</v>
      </c>
      <c r="F19" s="19" t="inlineStr">
        <is>
          <t>July 2026 Staff Salary</t>
        </is>
      </c>
    </row>
    <row r="20" ht="20" customHeight="1">
      <c r="A20" s="18" t="inlineStr">
        <is>
          <t>05/08/26</t>
        </is>
      </c>
      <c r="B20" s="19" t="inlineStr">
        <is>
          <t>Drisya Sasikumar</t>
        </is>
      </c>
      <c r="C20" s="19" t="inlineStr">
        <is>
          <t>Salary Expense</t>
        </is>
      </c>
      <c r="D20" s="18" t="inlineStr">
        <is>
          <t>NEFT (HDFCH01174134568)</t>
        </is>
      </c>
      <c r="E20" s="20" t="n">
        <v>25000</v>
      </c>
      <c r="F20" s="19" t="inlineStr">
        <is>
          <t>July 2026 Staff Salary</t>
        </is>
      </c>
    </row>
    <row r="21" ht="20" customHeight="1">
      <c r="A21" s="18" t="inlineStr">
        <is>
          <t>05/08/26</t>
        </is>
      </c>
      <c r="B21" s="19" t="inlineStr">
        <is>
          <t>Ann Mary Thomas</t>
        </is>
      </c>
      <c r="C21" s="19" t="inlineStr">
        <is>
          <t>Salary Expense</t>
        </is>
      </c>
      <c r="D21" s="18" t="inlineStr">
        <is>
          <t>NEFT (HDFCH01174134669)</t>
        </is>
      </c>
      <c r="E21" s="20" t="n">
        <v>20000</v>
      </c>
      <c r="F21" s="19" t="inlineStr">
        <is>
          <t>July 2026 Staff Salary</t>
        </is>
      </c>
    </row>
    <row r="22" ht="20" customHeight="1">
      <c r="A22" s="18" t="inlineStr">
        <is>
          <t>05/08/26</t>
        </is>
      </c>
      <c r="B22" s="19" t="inlineStr">
        <is>
          <t>Albin EM</t>
        </is>
      </c>
      <c r="C22" s="19" t="inlineStr">
        <is>
          <t>Salary Expense</t>
        </is>
      </c>
      <c r="D22" s="18" t="inlineStr">
        <is>
          <t>NEFT (HDFCH01174133014)</t>
        </is>
      </c>
      <c r="E22" s="20" t="n">
        <v>16153</v>
      </c>
      <c r="F22" s="19" t="inlineStr">
        <is>
          <t>July 2026 Salary (Adjusted)</t>
        </is>
      </c>
    </row>
    <row r="23" ht="20" customHeight="1">
      <c r="A23" s="11" t="inlineStr">
        <is>
          <t>05/08/26</t>
        </is>
      </c>
      <c r="B23" s="12" t="inlineStr">
        <is>
          <t>Arjun Krishna A</t>
        </is>
      </c>
      <c r="C23" s="12" t="inlineStr">
        <is>
          <t>Professional Fee (SEO)</t>
        </is>
      </c>
      <c r="D23" s="11" t="inlineStr">
        <is>
          <t>NEFT (HDFCH01174130193)</t>
        </is>
      </c>
      <c r="E23" s="13" t="n">
        <v>10000</v>
      </c>
      <c r="F23" s="12" t="inlineStr">
        <is>
          <t>SEO Consultant (Nihara &amp; Al Sajid)</t>
        </is>
      </c>
    </row>
    <row r="24" ht="20" customHeight="1">
      <c r="A24" s="21" t="inlineStr">
        <is>
          <t>05/08/26</t>
        </is>
      </c>
      <c r="B24" s="22" t="inlineStr">
        <is>
          <t>P I Radhakrishnan Nair</t>
        </is>
      </c>
      <c r="C24" s="22" t="inlineStr">
        <is>
          <t>Office Rent</t>
        </is>
      </c>
      <c r="D24" s="21" t="inlineStr">
        <is>
          <t>TPT Transfer</t>
        </is>
      </c>
      <c r="E24" s="23" t="n">
        <v>14160</v>
      </c>
      <c r="F24" s="22" t="inlineStr">
        <is>
          <t>July Office Rent (Base ₹12k + 18% GST ₹2,160)</t>
        </is>
      </c>
    </row>
    <row r="25" ht="20" customHeight="1">
      <c r="A25" s="11" t="inlineStr">
        <is>
          <t>14/08/26</t>
        </is>
      </c>
      <c r="B25" s="12" t="inlineStr">
        <is>
          <t>Hima Bindu Beeraka</t>
        </is>
      </c>
      <c r="C25" s="12" t="inlineStr">
        <is>
          <t>Office Assets / Setup</t>
        </is>
      </c>
      <c r="D25" s="11" t="inlineStr">
        <is>
          <t>TPT Transfer</t>
        </is>
      </c>
      <c r="E25" s="13" t="n">
        <v>5000</v>
      </c>
      <c r="F25" s="12" t="inlineStr">
        <is>
          <t>Advance for office furniture</t>
        </is>
      </c>
    </row>
    <row r="26" ht="20" customHeight="1">
      <c r="A26" s="8" t="inlineStr">
        <is>
          <t>14/08/26</t>
        </is>
      </c>
      <c r="B26" s="9" t="inlineStr">
        <is>
          <t>Hima Bindu Beeraka</t>
        </is>
      </c>
      <c r="C26" s="9" t="inlineStr">
        <is>
          <t>Office Supplies</t>
        </is>
      </c>
      <c r="D26" s="8" t="inlineStr">
        <is>
          <t>TPT Transfer</t>
        </is>
      </c>
      <c r="E26" s="10" t="n">
        <v>472</v>
      </c>
      <c r="F26" s="9" t="inlineStr">
        <is>
          <t>Office pantry / cups purchase</t>
        </is>
      </c>
    </row>
    <row r="27" ht="20" customHeight="1">
      <c r="A27" s="11" t="inlineStr">
        <is>
          <t>14/08/26</t>
        </is>
      </c>
      <c r="B27" s="12" t="inlineStr">
        <is>
          <t>Hima Bindu Beeraka</t>
        </is>
      </c>
      <c r="C27" s="12" t="inlineStr">
        <is>
          <t>Office Setup / Decor</t>
        </is>
      </c>
      <c r="D27" s="11" t="inlineStr">
        <is>
          <t>TPT Transfer</t>
        </is>
      </c>
      <c r="E27" s="13" t="n">
        <v>911</v>
      </c>
      <c r="F27" s="12" t="inlineStr">
        <is>
          <t>DIY studio/office decor items</t>
        </is>
      </c>
    </row>
    <row r="28" ht="20" customHeight="1">
      <c r="A28" s="8" t="inlineStr">
        <is>
          <t>16/08/26</t>
        </is>
      </c>
      <c r="B28" s="9" t="inlineStr">
        <is>
          <t>Hima Bindu Beeraka</t>
        </is>
      </c>
      <c r="C28" s="9" t="inlineStr">
        <is>
          <t>Staff Welfare / Dinner</t>
        </is>
      </c>
      <c r="D28" s="8" t="inlineStr">
        <is>
          <t>TPT Transfer</t>
        </is>
      </c>
      <c r="E28" s="10" t="n">
        <v>20000</v>
      </c>
      <c r="F28" s="9" t="inlineStr">
        <is>
          <t>Team dinner event / celebration</t>
        </is>
      </c>
    </row>
    <row r="29" ht="20" customHeight="1">
      <c r="A29" s="11" t="inlineStr">
        <is>
          <t>17/08/26</t>
        </is>
      </c>
      <c r="B29" s="12" t="inlineStr">
        <is>
          <t>Drisya Sasikumar</t>
        </is>
      </c>
      <c r="C29" s="12" t="inlineStr">
        <is>
          <t>Shoot / Production Cost</t>
        </is>
      </c>
      <c r="D29" s="11" t="inlineStr">
        <is>
          <t>NEFT</t>
        </is>
      </c>
      <c r="E29" s="13" t="n">
        <v>1531</v>
      </c>
      <c r="F29" s="12" t="inlineStr">
        <is>
          <t>Food expenses for photographer during shoot</t>
        </is>
      </c>
    </row>
    <row r="30" ht="20" customHeight="1">
      <c r="A30" s="8" t="inlineStr">
        <is>
          <t>18/08/26</t>
        </is>
      </c>
      <c r="B30" s="9" t="inlineStr">
        <is>
          <t>Hima Bindu Beeraka</t>
        </is>
      </c>
      <c r="C30" s="9" t="inlineStr">
        <is>
          <t>Internet &amp; Telecom</t>
        </is>
      </c>
      <c r="D30" s="8" t="inlineStr">
        <is>
          <t>TPT Transfer</t>
        </is>
      </c>
      <c r="E30" s="10" t="n">
        <v>1296.82</v>
      </c>
      <c r="F30" s="9" t="inlineStr">
        <is>
          <t>Airtel Broadband bill (Office internet)</t>
        </is>
      </c>
    </row>
    <row r="31" ht="20" customHeight="1">
      <c r="A31" s="11" t="inlineStr">
        <is>
          <t>18/08/26</t>
        </is>
      </c>
      <c r="B31" s="12" t="inlineStr">
        <is>
          <t>Albin EM</t>
        </is>
      </c>
      <c r="C31" s="12" t="inlineStr">
        <is>
          <t>Travel &amp; Conveyance</t>
        </is>
      </c>
      <c r="D31" s="11" t="inlineStr">
        <is>
          <t>IMPS</t>
        </is>
      </c>
      <c r="E31" s="13" t="n">
        <v>500</v>
      </c>
      <c r="F31" s="12" t="inlineStr">
        <is>
          <t>Transportation reimbursement to Albin</t>
        </is>
      </c>
    </row>
    <row r="32" ht="20" customHeight="1">
      <c r="A32" s="8" t="inlineStr">
        <is>
          <t>18/08/26</t>
        </is>
      </c>
      <c r="B32" s="9" t="inlineStr">
        <is>
          <t>Hima Bindu Beeraka</t>
        </is>
      </c>
      <c r="C32" s="9" t="inlineStr">
        <is>
          <t>Partner Reimbursement</t>
        </is>
      </c>
      <c r="D32" s="8" t="inlineStr">
        <is>
          <t>TPT Transfer</t>
        </is>
      </c>
      <c r="E32" s="10" t="n">
        <v>4312</v>
      </c>
      <c r="F32" s="9" t="inlineStr">
        <is>
          <t>Reimbursement of business expenses to Partner</t>
        </is>
      </c>
    </row>
    <row r="33" ht="20" customHeight="1">
      <c r="A33" s="11" t="inlineStr">
        <is>
          <t>20/08/26</t>
        </is>
      </c>
      <c r="B33" s="12" t="inlineStr">
        <is>
          <t>Albin EM</t>
        </is>
      </c>
      <c r="C33" s="12" t="inlineStr">
        <is>
          <t>Office Equipment</t>
        </is>
      </c>
      <c r="D33" s="11" t="inlineStr">
        <is>
          <t>NEFT</t>
        </is>
      </c>
      <c r="E33" s="13" t="n">
        <v>315</v>
      </c>
      <c r="F33" s="12" t="inlineStr">
        <is>
          <t>Office setup - drilling machine hire/charge</t>
        </is>
      </c>
    </row>
    <row r="34" ht="20" customHeight="1">
      <c r="A34" s="8" t="inlineStr">
        <is>
          <t>20/08/26</t>
        </is>
      </c>
      <c r="B34" s="9" t="inlineStr">
        <is>
          <t>Sankalp Sunil</t>
        </is>
      </c>
      <c r="C34" s="9" t="inlineStr">
        <is>
          <t>Peripherals &amp; Welfare</t>
        </is>
      </c>
      <c r="D34" s="8" t="inlineStr">
        <is>
          <t>NEFT</t>
        </is>
      </c>
      <c r="E34" s="10" t="n">
        <v>6327</v>
      </c>
      <c r="F34" s="9" t="inlineStr">
        <is>
          <t>Computer peripherals (mouse) &amp; team drinks</t>
        </is>
      </c>
    </row>
    <row r="35" ht="20" customHeight="1">
      <c r="A35" s="11" t="inlineStr">
        <is>
          <t>20/08/26</t>
        </is>
      </c>
      <c r="B35" s="12" t="inlineStr">
        <is>
          <t>Hima Bindu Beeraka</t>
        </is>
      </c>
      <c r="C35" s="12" t="inlineStr">
        <is>
          <t>Team Expenses</t>
        </is>
      </c>
      <c r="D35" s="11" t="inlineStr">
        <is>
          <t>TPT Transfer</t>
        </is>
      </c>
      <c r="E35" s="13" t="n">
        <v>5000</v>
      </c>
      <c r="F35" s="12" t="inlineStr">
        <is>
          <t>General office and operational expenses</t>
        </is>
      </c>
    </row>
    <row r="36" ht="20" customHeight="1">
      <c r="A36" s="8" t="inlineStr">
        <is>
          <t>27/08/26</t>
        </is>
      </c>
      <c r="B36" s="9" t="inlineStr">
        <is>
          <t>Hima Bindu Beeraka</t>
        </is>
      </c>
      <c r="C36" s="9" t="inlineStr">
        <is>
          <t>Office Assets / Setup</t>
        </is>
      </c>
      <c r="D36" s="8" t="inlineStr">
        <is>
          <t>TPT Transfer</t>
        </is>
      </c>
      <c r="E36" s="10" t="n">
        <v>854</v>
      </c>
      <c r="F36" s="9" t="inlineStr">
        <is>
          <t>Studio wall display stand for office</t>
        </is>
      </c>
    </row>
    <row r="37" ht="20" customHeight="1">
      <c r="A37" s="11" t="inlineStr">
        <is>
          <t>29/08/26</t>
        </is>
      </c>
      <c r="B37" s="12" t="inlineStr">
        <is>
          <t>Mayoori Furniture &amp; Electronics</t>
        </is>
      </c>
      <c r="C37" s="12" t="inlineStr">
        <is>
          <t>Office Furniture (Asset)</t>
        </is>
      </c>
      <c r="D37" s="11" t="inlineStr">
        <is>
          <t>IMPS</t>
        </is>
      </c>
      <c r="E37" s="13" t="n">
        <v>25500</v>
      </c>
      <c r="F37" s="12" t="inlineStr">
        <is>
          <t>Mayoori Furniture (Office work tables for studio)</t>
        </is>
      </c>
    </row>
    <row r="38" ht="20" customHeight="1">
      <c r="A38" s="18" t="inlineStr">
        <is>
          <t>29/08/26</t>
        </is>
      </c>
      <c r="B38" s="19" t="inlineStr">
        <is>
          <t>Hima Bindu Beeraka</t>
        </is>
      </c>
      <c r="C38" s="19" t="inlineStr">
        <is>
          <t>Partner Advance Salary</t>
        </is>
      </c>
      <c r="D38" s="18" t="inlineStr">
        <is>
          <t>TPT Transfer</t>
        </is>
      </c>
      <c r="E38" s="20" t="n">
        <v>15000</v>
      </c>
      <c r="F38" s="19" t="inlineStr">
        <is>
          <t>Hima Bindu (Partner advance salary)</t>
        </is>
      </c>
    </row>
    <row r="39" ht="25" customHeight="1">
      <c r="A39" s="24" t="inlineStr">
        <is>
          <t>Total Payments Made FROM Company</t>
        </is>
      </c>
      <c r="B39" s="14" t="n"/>
      <c r="C39" s="14" t="n"/>
      <c r="D39" s="14" t="n"/>
      <c r="E39" s="15">
        <f>SUM(E18:E38)</f>
        <v/>
      </c>
      <c r="F39" s="14" t="n"/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65" customWidth="1" min="3" max="3"/>
    <col width="20" customWidth="1" min="4" max="4"/>
    <col width="25" customWidth="1" min="5" max="5"/>
    <col width="18" customWidth="1" min="6" max="6"/>
    <col width="18" customWidth="1" min="7" max="7"/>
    <col width="18" customWidth="1" min="8" max="8"/>
    <col width="45" customWidth="1" min="9" max="9"/>
  </cols>
  <sheetData>
    <row r="1" ht="24" customHeight="1">
      <c r="A1" s="1" t="inlineStr">
        <is>
          <t>JAB MEDIA LAB  |  COMPLETE BANK STATEMENT TRANSACTIONS</t>
        </is>
      </c>
    </row>
    <row r="2" ht="18" customHeight="1">
      <c r="A2" s="2" t="inlineStr">
        <is>
          <t>HDFC Bank A/C: 50200113742475  |  Branch: Palarivattam (IFSC: HDFC0000520)  |  Period: 01/08/2026 to 31/08/2026</t>
        </is>
      </c>
    </row>
    <row r="4" ht="18" customHeight="1">
      <c r="B4" s="3" t="inlineStr">
        <is>
          <t>OPENING BALANCE (01/08/2026)</t>
        </is>
      </c>
      <c r="C4" s="4" t="n"/>
      <c r="D4" s="3" t="inlineStr">
        <is>
          <t>TOTAL DEPOSITS / INFLOWS (3 TXNS)</t>
        </is>
      </c>
      <c r="E4" s="4" t="n"/>
      <c r="F4" s="3" t="inlineStr">
        <is>
          <t>TOTAL WITHDRAWALS / EXPENSES (21 TXNS)</t>
        </is>
      </c>
      <c r="G4" s="4" t="n"/>
      <c r="H4" s="3" t="inlineStr">
        <is>
          <t>CLOSING BALANCE (31/08/2026)</t>
        </is>
      </c>
      <c r="I4" s="4" t="n"/>
    </row>
    <row r="5" ht="24" customHeight="1">
      <c r="B5" s="5" t="n">
        <v>257085.72</v>
      </c>
      <c r="C5" s="4" t="n"/>
      <c r="D5" s="5">
        <f>SUM(G8:G31)</f>
        <v/>
      </c>
      <c r="E5" s="4" t="n"/>
      <c r="F5" s="5">
        <f>SUM(F8:F31)</f>
        <v/>
      </c>
      <c r="G5" s="4" t="n"/>
      <c r="H5" s="5" t="n">
        <v>139953.9</v>
      </c>
      <c r="I5" s="4" t="n"/>
    </row>
    <row r="7" ht="28" customHeight="1">
      <c r="A7" s="25" t="inlineStr">
        <is>
          <t>Txn Date</t>
        </is>
      </c>
      <c r="B7" s="25" t="inlineStr">
        <is>
          <t>Value Date</t>
        </is>
      </c>
      <c r="C7" s="25" t="inlineStr">
        <is>
          <t>Transaction Narration / Bank Description</t>
        </is>
      </c>
      <c r="D7" s="25" t="inlineStr">
        <is>
          <t>Chq / Ref No.</t>
        </is>
      </c>
      <c r="E7" s="25" t="inlineStr">
        <is>
          <t>Auditor Classification / Head of Account</t>
        </is>
      </c>
      <c r="F7" s="25" t="inlineStr">
        <is>
          <t>Withdrawal (DR)</t>
        </is>
      </c>
      <c r="G7" s="25" t="inlineStr">
        <is>
          <t>Deposit (CR)</t>
        </is>
      </c>
      <c r="H7" s="25" t="inlineStr">
        <is>
          <t>Running Balance</t>
        </is>
      </c>
      <c r="I7" s="25" t="inlineStr">
        <is>
          <t>Audit Notes / Counterparty</t>
        </is>
      </c>
    </row>
    <row r="8" ht="21" customHeight="1">
      <c r="A8" s="18" t="inlineStr">
        <is>
          <t>05/08/26</t>
        </is>
      </c>
      <c r="B8" s="18" t="inlineStr">
        <is>
          <t>05/08/26</t>
        </is>
      </c>
      <c r="C8" s="19" t="inlineStr">
        <is>
          <t>NEFT DR-UBIN0928992-DRISYA SASIKUMAR-NETBANK, MUM-HDFCH01174134568-JULY SALARY 26</t>
        </is>
      </c>
      <c r="D8" s="18" t="inlineStr">
        <is>
          <t>HDFCH01174134568</t>
        </is>
      </c>
      <c r="E8" s="26" t="inlineStr">
        <is>
          <t>Salary Expense</t>
        </is>
      </c>
      <c r="F8" s="20" t="n">
        <v>25000</v>
      </c>
      <c r="G8" s="27" t="n"/>
      <c r="H8" s="20" t="n">
        <v>232085.72</v>
      </c>
      <c r="I8" s="19" t="inlineStr">
        <is>
          <t>Drisya Sasikumar (July 2026 Salary)</t>
        </is>
      </c>
    </row>
    <row r="9" ht="21" customHeight="1">
      <c r="A9" s="18" t="inlineStr">
        <is>
          <t>05/08/26</t>
        </is>
      </c>
      <c r="B9" s="18" t="inlineStr">
        <is>
          <t>05/08/26</t>
        </is>
      </c>
      <c r="C9" s="19" t="inlineStr">
        <is>
          <t>NEFT DR-IDFB0080511-ANN MARY THOMAS-NETBANK, MUM-HDFCH01174134669-JULY SALARY 26</t>
        </is>
      </c>
      <c r="D9" s="18" t="inlineStr">
        <is>
          <t>HDFCH01174134669</t>
        </is>
      </c>
      <c r="E9" s="26" t="inlineStr">
        <is>
          <t>Salary Expense</t>
        </is>
      </c>
      <c r="F9" s="20" t="n">
        <v>20000</v>
      </c>
      <c r="G9" s="27" t="n"/>
      <c r="H9" s="20" t="n">
        <v>212085.72</v>
      </c>
      <c r="I9" s="19" t="inlineStr">
        <is>
          <t>Ann Mary Thomas (July 2026 Salary)</t>
        </is>
      </c>
    </row>
    <row r="10" ht="21" customHeight="1">
      <c r="A10" s="18" t="inlineStr">
        <is>
          <t>05/08/26</t>
        </is>
      </c>
      <c r="B10" s="18" t="inlineStr">
        <is>
          <t>05/08/26</t>
        </is>
      </c>
      <c r="C10" s="19" t="inlineStr">
        <is>
          <t>NEFT DR-FDRL0007777-ALBIN EM-NETBANK, MUM-HDFCH01174133014-JULY SAL ADJSTD</t>
        </is>
      </c>
      <c r="D10" s="18" t="inlineStr">
        <is>
          <t>HDFCH01174133014</t>
        </is>
      </c>
      <c r="E10" s="26" t="inlineStr">
        <is>
          <t>Salary Expense</t>
        </is>
      </c>
      <c r="F10" s="20" t="n">
        <v>16153</v>
      </c>
      <c r="G10" s="27" t="n"/>
      <c r="H10" s="20" t="n">
        <v>195932.72</v>
      </c>
      <c r="I10" s="19" t="inlineStr">
        <is>
          <t>Albin EM (July 2026 Salary - Adjusted)</t>
        </is>
      </c>
    </row>
    <row r="11" ht="21" customHeight="1">
      <c r="A11" s="18" t="inlineStr">
        <is>
          <t>05/08/26</t>
        </is>
      </c>
      <c r="B11" s="18" t="inlineStr">
        <is>
          <t>06/08/26</t>
        </is>
      </c>
      <c r="C11" s="19" t="inlineStr">
        <is>
          <t>NEFT DR-IOBA0001416-GOKUL  G-NETBANK, MUM-HDFCH01174130102-JULY SALARY 26</t>
        </is>
      </c>
      <c r="D11" s="18" t="inlineStr">
        <is>
          <t>HDFCH01174130102</t>
        </is>
      </c>
      <c r="E11" s="26" t="inlineStr">
        <is>
          <t>Salary Expense</t>
        </is>
      </c>
      <c r="F11" s="20" t="n">
        <v>45000</v>
      </c>
      <c r="G11" s="27" t="n"/>
      <c r="H11" s="20" t="n">
        <v>150932.72</v>
      </c>
      <c r="I11" s="19" t="inlineStr">
        <is>
          <t>Gokul G (July 2026 Salary)</t>
        </is>
      </c>
    </row>
    <row r="12" ht="21" customHeight="1">
      <c r="A12" s="18" t="inlineStr">
        <is>
          <t>05/08/26</t>
        </is>
      </c>
      <c r="B12" s="18" t="inlineStr">
        <is>
          <t>06/08/26</t>
        </is>
      </c>
      <c r="C12" s="19" t="inlineStr">
        <is>
          <t>NEFT DR-ICIC0000152-SANKALP SUNIL-NETBANK, MUM-HDFCH01174135028-JULY SALARY 26</t>
        </is>
      </c>
      <c r="D12" s="18" t="inlineStr">
        <is>
          <t>HDFCH01174135028</t>
        </is>
      </c>
      <c r="E12" s="26" t="inlineStr">
        <is>
          <t>Salary Expense</t>
        </is>
      </c>
      <c r="F12" s="20" t="n">
        <v>50000</v>
      </c>
      <c r="G12" s="27" t="n"/>
      <c r="H12" s="20" t="n">
        <v>100932.72</v>
      </c>
      <c r="I12" s="19" t="inlineStr">
        <is>
          <t>Sankalp Sunil (July 2026 Salary)</t>
        </is>
      </c>
    </row>
    <row r="13" ht="21" customHeight="1">
      <c r="A13" s="11" t="inlineStr">
        <is>
          <t>05/08/26</t>
        </is>
      </c>
      <c r="B13" s="11" t="inlineStr">
        <is>
          <t>06/08/26</t>
        </is>
      </c>
      <c r="C13" s="12" t="inlineStr">
        <is>
          <t>NEFT DR-FDRL0007777-ARJUN KRISHNA A-NETBANK, MUM-HDFCH01174130193-SEO CONS NIH ALSAJ</t>
        </is>
      </c>
      <c r="D13" s="11" t="inlineStr">
        <is>
          <t>HDFCH01174130193</t>
        </is>
      </c>
      <c r="E13" s="12" t="inlineStr">
        <is>
          <t>Professional Fees (SEO)</t>
        </is>
      </c>
      <c r="F13" s="13" t="n">
        <v>10000</v>
      </c>
      <c r="G13" s="28" t="n"/>
      <c r="H13" s="13" t="n">
        <v>90932.72</v>
      </c>
      <c r="I13" s="12" t="inlineStr">
        <is>
          <t>Arjun Krishna A (SEO Consultant - Nihara &amp; Al Sajid)</t>
        </is>
      </c>
    </row>
    <row r="14" ht="21" customHeight="1">
      <c r="A14" s="8" t="inlineStr">
        <is>
          <t>05/08/26</t>
        </is>
      </c>
      <c r="B14" s="8" t="inlineStr">
        <is>
          <t>06/08/26</t>
        </is>
      </c>
      <c r="C14" s="9" t="inlineStr">
        <is>
          <t>59108593951251-TPT-RENT JULY 26-P I RADHAKRISHNAN NAIR</t>
        </is>
      </c>
      <c r="D14" s="8" t="inlineStr">
        <is>
          <t>0000000281905419</t>
        </is>
      </c>
      <c r="E14" s="9" t="inlineStr">
        <is>
          <t>Rent Expense</t>
        </is>
      </c>
      <c r="F14" s="10" t="n">
        <v>14160</v>
      </c>
      <c r="G14" s="29" t="n"/>
      <c r="H14" s="10" t="n">
        <v>76772.72</v>
      </c>
      <c r="I14" s="9" t="inlineStr">
        <is>
          <t>P I Radhakrishnan Nair (Office Rent July - Base 12k + 18% GST)</t>
        </is>
      </c>
    </row>
    <row r="15" ht="21" customHeight="1">
      <c r="A15" s="30" t="inlineStr">
        <is>
          <t>12/08/26</t>
        </is>
      </c>
      <c r="B15" s="30" t="inlineStr">
        <is>
          <t>12/08/26</t>
        </is>
      </c>
      <c r="C15" s="31" t="inlineStr">
        <is>
          <t>NEFT CR-FDRL0009994-AL SAJID MECHANICAL EQUIPMENT-JAB MEDIA LAB-TUTR262240199763</t>
        </is>
      </c>
      <c r="D15" s="30" t="inlineStr">
        <is>
          <t>TUTR262240199763</t>
        </is>
      </c>
      <c r="E15" s="31" t="inlineStr">
        <is>
          <t>Revenue / Inflow</t>
        </is>
      </c>
      <c r="F15" s="32" t="n"/>
      <c r="G15" s="33" t="n">
        <v>40000</v>
      </c>
      <c r="H15" s="33" t="n">
        <v>116772.72</v>
      </c>
      <c r="I15" s="31" t="inlineStr">
        <is>
          <t>Al Sajid Mechanical Equipment LLC (Matches Inv JAB/2026/ALS EXP/03 + Advance)</t>
        </is>
      </c>
    </row>
    <row r="16" ht="21" customHeight="1">
      <c r="A16" s="8" t="inlineStr">
        <is>
          <t>14/08/26</t>
        </is>
      </c>
      <c r="B16" s="8" t="inlineStr">
        <is>
          <t>14/08/26</t>
        </is>
      </c>
      <c r="C16" s="9" t="inlineStr">
        <is>
          <t>05201000155550-TPT-FURNITURE JAB ADV-HIMA BINDU BEERAKA</t>
        </is>
      </c>
      <c r="D16" s="8" t="inlineStr">
        <is>
          <t>0000000136267736</t>
        </is>
      </c>
      <c r="E16" s="9" t="inlineStr">
        <is>
          <t>Office Assets / Setup</t>
        </is>
      </c>
      <c r="F16" s="10" t="n">
        <v>5000</v>
      </c>
      <c r="G16" s="29" t="n"/>
      <c r="H16" s="10" t="n">
        <v>111772.72</v>
      </c>
      <c r="I16" s="9" t="inlineStr">
        <is>
          <t>Hima Bindu (Advance for office furniture)</t>
        </is>
      </c>
    </row>
    <row r="17" ht="21" customHeight="1">
      <c r="A17" s="11" t="inlineStr">
        <is>
          <t>14/08/26</t>
        </is>
      </c>
      <c r="B17" s="11" t="inlineStr">
        <is>
          <t>14/08/26</t>
        </is>
      </c>
      <c r="C17" s="12" t="inlineStr">
        <is>
          <t>05201000155550-TPT-CUPS-HIMA BINDU BEERAKA</t>
        </is>
      </c>
      <c r="D17" s="11" t="inlineStr">
        <is>
          <t>0000000143066789</t>
        </is>
      </c>
      <c r="E17" s="12" t="inlineStr">
        <is>
          <t>Office Supplies</t>
        </is>
      </c>
      <c r="F17" s="13" t="n">
        <v>472</v>
      </c>
      <c r="G17" s="28" t="n"/>
      <c r="H17" s="13" t="n">
        <v>111300.72</v>
      </c>
      <c r="I17" s="12" t="inlineStr">
        <is>
          <t>Office pantry / cups purchase</t>
        </is>
      </c>
    </row>
    <row r="18" ht="21" customHeight="1">
      <c r="A18" s="8" t="inlineStr">
        <is>
          <t>14/08/26</t>
        </is>
      </c>
      <c r="B18" s="8" t="inlineStr">
        <is>
          <t>14/08/26</t>
        </is>
      </c>
      <c r="C18" s="9" t="inlineStr">
        <is>
          <t>05201000155550-TPT-DIY DECOR JAB-HIMA BINDU BEERAKA</t>
        </is>
      </c>
      <c r="D18" s="8" t="inlineStr">
        <is>
          <t>0000000159984096</t>
        </is>
      </c>
      <c r="E18" s="9" t="inlineStr">
        <is>
          <t>Office Setup / Decor</t>
        </is>
      </c>
      <c r="F18" s="10" t="n">
        <v>911</v>
      </c>
      <c r="G18" s="29" t="n"/>
      <c r="H18" s="10" t="n">
        <v>110389.72</v>
      </c>
      <c r="I18" s="9" t="inlineStr">
        <is>
          <t>DIY studio/office decor items</t>
        </is>
      </c>
    </row>
    <row r="19" ht="21" customHeight="1">
      <c r="A19" s="11" t="inlineStr">
        <is>
          <t>16/08/26</t>
        </is>
      </c>
      <c r="B19" s="11" t="inlineStr">
        <is>
          <t>16/08/26</t>
        </is>
      </c>
      <c r="C19" s="12" t="inlineStr">
        <is>
          <t>05201000155550-TPT-JAB DINNER-HIMA BINDU BEERAKA</t>
        </is>
      </c>
      <c r="D19" s="11" t="inlineStr">
        <is>
          <t>0000000280657961</t>
        </is>
      </c>
      <c r="E19" s="12" t="inlineStr">
        <is>
          <t>Staff Welfare / Dinner</t>
        </is>
      </c>
      <c r="F19" s="13" t="n">
        <v>20000</v>
      </c>
      <c r="G19" s="28" t="n"/>
      <c r="H19" s="13" t="n">
        <v>90389.72</v>
      </c>
      <c r="I19" s="12" t="inlineStr">
        <is>
          <t>Team dinner event / celebration</t>
        </is>
      </c>
    </row>
    <row r="20" ht="21" customHeight="1">
      <c r="A20" s="8" t="inlineStr">
        <is>
          <t>17/08/26</t>
        </is>
      </c>
      <c r="B20" s="8" t="inlineStr">
        <is>
          <t>17/08/26</t>
        </is>
      </c>
      <c r="C20" s="9" t="inlineStr">
        <is>
          <t>NEFT DR-UBIN0928992-DRISYA SASIKUMAR-NETBANK, MUM-HDFCH01200513596-LUNCH PHOTOGRAPHER</t>
        </is>
      </c>
      <c r="D20" s="8" t="inlineStr">
        <is>
          <t>HDFCH01200513596</t>
        </is>
      </c>
      <c r="E20" s="9" t="inlineStr">
        <is>
          <t>Shoot / Production Cost</t>
        </is>
      </c>
      <c r="F20" s="10" t="n">
        <v>1531</v>
      </c>
      <c r="G20" s="29" t="n"/>
      <c r="H20" s="10" t="n">
        <v>88858.72</v>
      </c>
      <c r="I20" s="9" t="inlineStr">
        <is>
          <t>Food expenses for photographer during shoot</t>
        </is>
      </c>
    </row>
    <row r="21" ht="21" customHeight="1">
      <c r="A21" s="11" t="inlineStr">
        <is>
          <t>18/08/26</t>
        </is>
      </c>
      <c r="B21" s="11" t="inlineStr">
        <is>
          <t>18/08/26</t>
        </is>
      </c>
      <c r="C21" s="12" t="inlineStr">
        <is>
          <t>05201000155550-TPT-AIRTEL WIFI-HIMA BINDU BEERAKA</t>
        </is>
      </c>
      <c r="D21" s="11" t="inlineStr">
        <is>
          <t>0000000287526783</t>
        </is>
      </c>
      <c r="E21" s="12" t="inlineStr">
        <is>
          <t>Internet / Utilities</t>
        </is>
      </c>
      <c r="F21" s="13" t="n">
        <v>1296.82</v>
      </c>
      <c r="G21" s="28" t="n"/>
      <c r="H21" s="13" t="n">
        <v>87561.89999999999</v>
      </c>
      <c r="I21" s="12" t="inlineStr">
        <is>
          <t>Airtel Broadband bill (Office internet)</t>
        </is>
      </c>
    </row>
    <row r="22" ht="21" customHeight="1">
      <c r="A22" s="8" t="inlineStr">
        <is>
          <t>18/08/26</t>
        </is>
      </c>
      <c r="B22" s="8" t="inlineStr">
        <is>
          <t>18/08/26</t>
        </is>
      </c>
      <c r="C22" s="9" t="inlineStr">
        <is>
          <t>IMPS-623026460475-ALBIN EM-FDRL-XXXXXXXXXX4507-TRANSPORTATION</t>
        </is>
      </c>
      <c r="D22" s="8" t="inlineStr">
        <is>
          <t>0000623026460475</t>
        </is>
      </c>
      <c r="E22" s="9" t="inlineStr">
        <is>
          <t>Travel &amp; Conveyance</t>
        </is>
      </c>
      <c r="F22" s="10" t="n">
        <v>500</v>
      </c>
      <c r="G22" s="29" t="n"/>
      <c r="H22" s="10" t="n">
        <v>87061.89999999999</v>
      </c>
      <c r="I22" s="9" t="inlineStr">
        <is>
          <t>Transportation reimbursement to Albin</t>
        </is>
      </c>
    </row>
    <row r="23" ht="21" customHeight="1">
      <c r="A23" s="11" t="inlineStr">
        <is>
          <t>18/08/26</t>
        </is>
      </c>
      <c r="B23" s="11" t="inlineStr">
        <is>
          <t>18/08/26</t>
        </is>
      </c>
      <c r="C23" s="12" t="inlineStr">
        <is>
          <t>05201000155550-TPT-PARTNERS EXPENSE-HIMA BINDU BEERAKA</t>
        </is>
      </c>
      <c r="D23" s="11" t="inlineStr">
        <is>
          <t>0000000224381030</t>
        </is>
      </c>
      <c r="E23" s="12" t="inlineStr">
        <is>
          <t>Partner Reimbursement</t>
        </is>
      </c>
      <c r="F23" s="13" t="n">
        <v>4312</v>
      </c>
      <c r="G23" s="28" t="n"/>
      <c r="H23" s="13" t="n">
        <v>82749.89999999999</v>
      </c>
      <c r="I23" s="12" t="inlineStr">
        <is>
          <t>Reimbursement of business expenses to Partner</t>
        </is>
      </c>
    </row>
    <row r="24" ht="21" customHeight="1">
      <c r="A24" s="8" t="inlineStr">
        <is>
          <t>20/08/26</t>
        </is>
      </c>
      <c r="B24" s="8" t="inlineStr">
        <is>
          <t>20/08/26</t>
        </is>
      </c>
      <c r="C24" s="9" t="inlineStr">
        <is>
          <t>NEFT DR-FDRL0007777-ALBIN EM-NETBANK, MUM-HDFCH01205912560-DRILLING MACHINE</t>
        </is>
      </c>
      <c r="D24" s="8" t="inlineStr">
        <is>
          <t>HDFCH01205912560</t>
        </is>
      </c>
      <c r="E24" s="9" t="inlineStr">
        <is>
          <t>Office Equipment / Tool</t>
        </is>
      </c>
      <c r="F24" s="10" t="n">
        <v>315</v>
      </c>
      <c r="G24" s="29" t="n"/>
      <c r="H24" s="10" t="n">
        <v>82434.89999999999</v>
      </c>
      <c r="I24" s="9" t="inlineStr">
        <is>
          <t>Office setup - drilling machine hire/charge</t>
        </is>
      </c>
    </row>
    <row r="25" ht="21" customHeight="1">
      <c r="A25" s="11" t="inlineStr">
        <is>
          <t>20/08/26</t>
        </is>
      </c>
      <c r="B25" s="11" t="inlineStr">
        <is>
          <t>20/08/26</t>
        </is>
      </c>
      <c r="C25" s="12" t="inlineStr">
        <is>
          <t>NEFT DR-ICIC0000152-SANKALP SUNIL-NETBANK, MUM-HDFCH01205913615-TEAM DRINKS MOUSE</t>
        </is>
      </c>
      <c r="D25" s="11" t="inlineStr">
        <is>
          <t>HDFCH01205913615</t>
        </is>
      </c>
      <c r="E25" s="12" t="inlineStr">
        <is>
          <t>Office &amp; Welfare</t>
        </is>
      </c>
      <c r="F25" s="13" t="n">
        <v>6327</v>
      </c>
      <c r="G25" s="28" t="n"/>
      <c r="H25" s="13" t="n">
        <v>76107.89999999999</v>
      </c>
      <c r="I25" s="12" t="inlineStr">
        <is>
          <t>Computer peripherals (mouse) &amp; team drinks</t>
        </is>
      </c>
    </row>
    <row r="26" ht="21" customHeight="1">
      <c r="A26" s="8" t="inlineStr">
        <is>
          <t>20/08/26</t>
        </is>
      </c>
      <c r="B26" s="8" t="inlineStr">
        <is>
          <t>20/08/26</t>
        </is>
      </c>
      <c r="C26" s="9" t="inlineStr">
        <is>
          <t>05201000155550-TPT-TEAM EXPENSES-HIMA BINDU BEERAKA</t>
        </is>
      </c>
      <c r="D26" s="8" t="inlineStr">
        <is>
          <t>0000000189375996</t>
        </is>
      </c>
      <c r="E26" s="9" t="inlineStr">
        <is>
          <t>Team Expenses</t>
        </is>
      </c>
      <c r="F26" s="10" t="n">
        <v>5000</v>
      </c>
      <c r="G26" s="29" t="n"/>
      <c r="H26" s="10" t="n">
        <v>71107.89999999999</v>
      </c>
      <c r="I26" s="9" t="inlineStr">
        <is>
          <t>General office and operational expenses</t>
        </is>
      </c>
    </row>
    <row r="27" ht="21" customHeight="1">
      <c r="A27" s="30" t="inlineStr">
        <is>
          <t>24/08/26</t>
        </is>
      </c>
      <c r="B27" s="30" t="inlineStr">
        <is>
          <t>24/08/26</t>
        </is>
      </c>
      <c r="C27" s="31" t="inlineStr">
        <is>
          <t>NEFT CR-SBIN0071189-NIHARA-JAB MEDIA LAB-SBIN126236816356</t>
        </is>
      </c>
      <c r="D27" s="30" t="inlineStr">
        <is>
          <t>SBIN126236816356</t>
        </is>
      </c>
      <c r="E27" s="31" t="inlineStr">
        <is>
          <t>Revenue / Inflow</t>
        </is>
      </c>
      <c r="F27" s="32" t="n"/>
      <c r="G27" s="33" t="n">
        <v>75400</v>
      </c>
      <c r="H27" s="33" t="n">
        <v>146507.9</v>
      </c>
      <c r="I27" s="31" t="inlineStr">
        <is>
          <t>NIHARA RESORTS (Matches Inv JAB-2026-NIHR-009 ₹76.7k less 2% TDS ₹1.3k)</t>
        </is>
      </c>
    </row>
    <row r="28" ht="21" customHeight="1">
      <c r="A28" s="8" t="inlineStr">
        <is>
          <t>27/08/26</t>
        </is>
      </c>
      <c r="B28" s="8" t="inlineStr">
        <is>
          <t>27/08/26</t>
        </is>
      </c>
      <c r="C28" s="9" t="inlineStr">
        <is>
          <t>05201000155550-TPT-WALL DISPLAY STAND-HIMA BINDU BEERAKA</t>
        </is>
      </c>
      <c r="D28" s="8" t="inlineStr">
        <is>
          <t>0000000367455922</t>
        </is>
      </c>
      <c r="E28" s="9" t="inlineStr">
        <is>
          <t>Office Assets / Setup</t>
        </is>
      </c>
      <c r="F28" s="10" t="n">
        <v>854</v>
      </c>
      <c r="G28" s="29" t="n"/>
      <c r="H28" s="10" t="n">
        <v>145653.9</v>
      </c>
      <c r="I28" s="9" t="inlineStr">
        <is>
          <t>Studio wall display stand for office</t>
        </is>
      </c>
    </row>
    <row r="29" ht="21" customHeight="1">
      <c r="A29" s="30" t="inlineStr">
        <is>
          <t>27/08/26</t>
        </is>
      </c>
      <c r="B29" s="30" t="inlineStr">
        <is>
          <t>27/08/26</t>
        </is>
      </c>
      <c r="C29" s="31" t="inlineStr">
        <is>
          <t>FT - CR - 50200111768378 - WELLGENOME BIOTECHNOLOGY PRIVATE LIMITED</t>
        </is>
      </c>
      <c r="D29" s="30" t="inlineStr">
        <is>
          <t>0000000000000179</t>
        </is>
      </c>
      <c r="E29" s="31" t="inlineStr">
        <is>
          <t>Revenue / Inflow</t>
        </is>
      </c>
      <c r="F29" s="32" t="n"/>
      <c r="G29" s="33" t="n">
        <v>34800</v>
      </c>
      <c r="H29" s="33" t="n">
        <v>180453.9</v>
      </c>
      <c r="I29" s="31" t="inlineStr">
        <is>
          <t>Wellgenome Biotech (Matches Inv JAB/2026/WG/005 ₹35.4k less 2% TDS ₹600)</t>
        </is>
      </c>
    </row>
    <row r="30" ht="21" customHeight="1">
      <c r="A30" s="8" t="inlineStr">
        <is>
          <t>29/08/26</t>
        </is>
      </c>
      <c r="B30" s="8" t="inlineStr">
        <is>
          <t>29/08/26</t>
        </is>
      </c>
      <c r="C30" s="9" t="inlineStr">
        <is>
          <t>IMPS-624130857127-MAYOORI FURNITURE AND ELECTRONICS-FDRL-XXXXXXXXXX6926-TABLES JAB</t>
        </is>
      </c>
      <c r="D30" s="8" t="inlineStr">
        <is>
          <t>0000624130857127</t>
        </is>
      </c>
      <c r="E30" s="9" t="inlineStr">
        <is>
          <t>Office Furniture (Asset)</t>
        </is>
      </c>
      <c r="F30" s="10" t="n">
        <v>25500</v>
      </c>
      <c r="G30" s="29" t="n"/>
      <c r="H30" s="10" t="n">
        <v>154953.9</v>
      </c>
      <c r="I30" s="9" t="inlineStr">
        <is>
          <t>Mayoori Furniture (Office work tables for studio)</t>
        </is>
      </c>
    </row>
    <row r="31" ht="21" customHeight="1">
      <c r="A31" s="18" t="inlineStr">
        <is>
          <t>29/08/26</t>
        </is>
      </c>
      <c r="B31" s="18" t="inlineStr">
        <is>
          <t>29/08/26</t>
        </is>
      </c>
      <c r="C31" s="19" t="inlineStr">
        <is>
          <t>05201000155550-TPT-HIMA ADV SALARY-HIMA BINDU BEERAKA</t>
        </is>
      </c>
      <c r="D31" s="18" t="inlineStr">
        <is>
          <t>0000000213511176</t>
        </is>
      </c>
      <c r="E31" s="26" t="inlineStr">
        <is>
          <t>Partner Advance Salary</t>
        </is>
      </c>
      <c r="F31" s="20" t="n">
        <v>15000</v>
      </c>
      <c r="G31" s="27" t="n"/>
      <c r="H31" s="20" t="n">
        <v>139953.9</v>
      </c>
      <c r="I31" s="19" t="inlineStr">
        <is>
          <t>Hima Bindu (Partner advance salary)</t>
        </is>
      </c>
    </row>
    <row r="32" ht="25" customHeight="1">
      <c r="A32" s="24" t="inlineStr">
        <is>
          <t>Total Bank Movement</t>
        </is>
      </c>
      <c r="B32" s="14" t="n"/>
      <c r="C32" s="14" t="n"/>
      <c r="D32" s="14" t="n"/>
      <c r="E32" s="14" t="n"/>
      <c r="F32" s="15">
        <f>SUM(F8:F31)</f>
        <v/>
      </c>
      <c r="G32" s="15">
        <f>SUM(G8:G31)</f>
        <v/>
      </c>
      <c r="H32" s="15">
        <f>H31</f>
        <v/>
      </c>
      <c r="I32" s="14" t="n"/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3" customWidth="1" min="2" max="2"/>
    <col width="38" customWidth="1" min="3" max="3"/>
    <col width="20" customWidth="1" min="4" max="4"/>
    <col width="16" customWidth="1" min="5" max="5"/>
    <col width="14" customWidth="1" min="6" max="6"/>
    <col width="14" customWidth="1" min="7" max="7"/>
    <col width="15" customWidth="1" min="8" max="8"/>
    <col width="16" customWidth="1" min="9" max="9"/>
    <col width="45" customWidth="1" min="10" max="10"/>
    <col width="25" customWidth="1" min="11" max="11"/>
    <col width="45" customWidth="1" min="12" max="12"/>
  </cols>
  <sheetData>
    <row r="1" ht="24" customHeight="1">
      <c r="A1" s="1" t="inlineStr">
        <is>
          <t>JAB MEDIA LAB  |  OUTWARD SUPPLIES &amp; SALES INVOICE REGISTER</t>
        </is>
      </c>
    </row>
    <row r="2" ht="18" customHeight="1">
      <c r="A2" s="2" t="inlineStr">
        <is>
          <t>August 2026 Invoices Issued  |  GSTIN: 32AAVFJ8263F1Z0  |  IEC: AAVFJ8263F</t>
        </is>
      </c>
    </row>
    <row r="4" ht="18" customHeight="1">
      <c r="B4" s="3" t="inlineStr">
        <is>
          <t>TOTAL INVOICES</t>
        </is>
      </c>
      <c r="C4" s="4" t="n"/>
      <c r="D4" s="3" t="inlineStr">
        <is>
          <t>TOTAL TAXABLE VALUE</t>
        </is>
      </c>
      <c r="E4" s="4" t="n"/>
      <c r="F4" s="3" t="inlineStr">
        <is>
          <t>TOTAL CGST</t>
        </is>
      </c>
      <c r="G4" s="3" t="inlineStr">
        <is>
          <t>TOTAL SGST</t>
        </is>
      </c>
      <c r="H4" s="3" t="inlineStr">
        <is>
          <t>TOTAL INVOICED AMOUNT</t>
        </is>
      </c>
      <c r="I4" s="4" t="n"/>
    </row>
    <row r="5" ht="24" customHeight="1">
      <c r="B5" s="34" t="n">
        <v>5</v>
      </c>
      <c r="C5" s="4" t="n"/>
      <c r="D5" s="5">
        <f>SUM(E8:E12)</f>
        <v/>
      </c>
      <c r="E5" s="4" t="n"/>
      <c r="F5" s="5">
        <f>SUM(F8:F12)</f>
        <v/>
      </c>
      <c r="G5" s="5">
        <f>SUM(G8:G12)</f>
        <v/>
      </c>
      <c r="H5" s="5">
        <f>SUM(I8:I12)</f>
        <v/>
      </c>
      <c r="I5" s="4" t="n"/>
    </row>
    <row r="7" ht="28" customHeight="1">
      <c r="A7" s="35" t="inlineStr">
        <is>
          <t>Invoice No.</t>
        </is>
      </c>
      <c r="B7" s="35" t="inlineStr">
        <is>
          <t>Invoice Date</t>
        </is>
      </c>
      <c r="C7" s="35" t="inlineStr">
        <is>
          <t>Client / Party Name</t>
        </is>
      </c>
      <c r="D7" s="35" t="inlineStr">
        <is>
          <t>Party GSTIN</t>
        </is>
      </c>
      <c r="E7" s="35" t="inlineStr">
        <is>
          <t>Taxable Value</t>
        </is>
      </c>
      <c r="F7" s="35" t="inlineStr">
        <is>
          <t>CGST (9%)</t>
        </is>
      </c>
      <c r="G7" s="35" t="inlineStr">
        <is>
          <t>SGST (9%)</t>
        </is>
      </c>
      <c r="H7" s="35" t="inlineStr">
        <is>
          <t>Total GST</t>
        </is>
      </c>
      <c r="I7" s="35" t="inlineStr">
        <is>
          <t>Invoice Total</t>
        </is>
      </c>
      <c r="J7" s="35" t="inlineStr">
        <is>
          <t>Service Description / Scope of Work</t>
        </is>
      </c>
      <c r="K7" s="35" t="inlineStr">
        <is>
          <t>GST Category</t>
        </is>
      </c>
      <c r="L7" s="35" t="inlineStr">
        <is>
          <t>Payment Status as of 31/08</t>
        </is>
      </c>
    </row>
    <row r="8" ht="24" customHeight="1">
      <c r="A8" s="36" t="inlineStr">
        <is>
          <t>JAB/2026/WG/005</t>
        </is>
      </c>
      <c r="B8" s="8" t="inlineStr">
        <is>
          <t>01/08/2026</t>
        </is>
      </c>
      <c r="C8" s="9" t="inlineStr">
        <is>
          <t>Wellgenome Biotechnology Private Limited</t>
        </is>
      </c>
      <c r="D8" s="37" t="inlineStr">
        <is>
          <t>-</t>
        </is>
      </c>
      <c r="E8" s="10" t="n">
        <v>30000</v>
      </c>
      <c r="F8" s="10" t="n">
        <v>2700</v>
      </c>
      <c r="G8" s="10" t="n">
        <v>2700</v>
      </c>
      <c r="H8" s="10">
        <f>F8+G8</f>
        <v/>
      </c>
      <c r="I8" s="10" t="n">
        <v>35400</v>
      </c>
      <c r="J8" s="9" t="inlineStr">
        <is>
          <t>Social Media Management (8 Posts, 4 Reels for July 2026)</t>
        </is>
      </c>
      <c r="K8" s="8" t="inlineStr">
        <is>
          <t>B2C Others</t>
        </is>
      </c>
      <c r="L8" s="9" t="inlineStr">
        <is>
          <t>Received on 27/08 (₹34,800 net of ₹600 TDS)</t>
        </is>
      </c>
    </row>
    <row r="9" ht="24" customHeight="1">
      <c r="A9" s="38" t="inlineStr">
        <is>
          <t>JAB/2026/WS/006</t>
        </is>
      </c>
      <c r="B9" s="11" t="inlineStr">
        <is>
          <t>01/08/2026</t>
        </is>
      </c>
      <c r="C9" s="12" t="inlineStr">
        <is>
          <t>Wellness Solutions, Pvt, Ltd</t>
        </is>
      </c>
      <c r="D9" s="39" t="inlineStr">
        <is>
          <t>-</t>
        </is>
      </c>
      <c r="E9" s="13" t="n">
        <v>30000</v>
      </c>
      <c r="F9" s="13" t="n">
        <v>2700</v>
      </c>
      <c r="G9" s="13" t="n">
        <v>2700</v>
      </c>
      <c r="H9" s="13">
        <f>F9+G9</f>
        <v/>
      </c>
      <c r="I9" s="13" t="n">
        <v>35400</v>
      </c>
      <c r="J9" s="12" t="inlineStr">
        <is>
          <t>Social Media Retainer (8 Posts, 4 Reels for July 2026)</t>
        </is>
      </c>
      <c r="K9" s="11" t="inlineStr">
        <is>
          <t>B2C Others</t>
        </is>
      </c>
      <c r="L9" s="12" t="inlineStr">
        <is>
          <t>Unpaid / Outstanding Receivable</t>
        </is>
      </c>
    </row>
    <row r="10" ht="24" customHeight="1">
      <c r="A10" s="40" t="inlineStr">
        <is>
          <t>JAB/2026/ALS EXP/03</t>
        </is>
      </c>
      <c r="B10" s="21" t="inlineStr">
        <is>
          <t>01/08/2026</t>
        </is>
      </c>
      <c r="C10" s="22" t="inlineStr">
        <is>
          <t>Al Sajid Mechanical Equipment LLC</t>
        </is>
      </c>
      <c r="D10" s="21" t="inlineStr">
        <is>
          <t>Foreign (UAE)</t>
        </is>
      </c>
      <c r="E10" s="23" t="n">
        <v>20000</v>
      </c>
      <c r="F10" s="23" t="n">
        <v>0</v>
      </c>
      <c r="G10" s="23" t="n">
        <v>0</v>
      </c>
      <c r="H10" s="23">
        <f>F10+G10</f>
        <v/>
      </c>
      <c r="I10" s="23" t="n">
        <v>20000</v>
      </c>
      <c r="J10" s="22" t="inlineStr">
        <is>
          <t>SEO for July 2026 (SEO Activities)</t>
        </is>
      </c>
      <c r="K10" s="21" t="inlineStr">
        <is>
          <t>Export of Services (Zero Rated)</t>
        </is>
      </c>
      <c r="L10" s="22" t="inlineStr">
        <is>
          <t>Received on 12/08 (₹40,000 received for 2 months)</t>
        </is>
      </c>
    </row>
    <row r="11" ht="24" customHeight="1">
      <c r="A11" s="40" t="inlineStr">
        <is>
          <t>JAB-2026-NIHR-010</t>
        </is>
      </c>
      <c r="B11" s="21" t="inlineStr">
        <is>
          <t>11/08/2026</t>
        </is>
      </c>
      <c r="C11" s="22" t="inlineStr">
        <is>
          <t>NIHARA RESORTS AND SPA</t>
        </is>
      </c>
      <c r="D11" s="41" t="inlineStr">
        <is>
          <t>32AAGCB0650E1ZC</t>
        </is>
      </c>
      <c r="E11" s="23" t="n">
        <v>165000</v>
      </c>
      <c r="F11" s="23" t="n">
        <v>0</v>
      </c>
      <c r="G11" s="23" t="n">
        <v>0</v>
      </c>
      <c r="H11" s="23">
        <f>F11+G11</f>
        <v/>
      </c>
      <c r="I11" s="23" t="n">
        <v>165000</v>
      </c>
      <c r="J11" s="22" t="inlineStr">
        <is>
          <t>Photography &amp; Videography Shoot (Pending 70% + 5 Videos + 42 Photos)</t>
        </is>
      </c>
      <c r="K11" s="21" t="inlineStr">
        <is>
          <t>B2B Regular (GST Unspecified)*</t>
        </is>
      </c>
      <c r="L11" s="22" t="inlineStr">
        <is>
          <t>Unpaid / Outstanding Receivable</t>
        </is>
      </c>
    </row>
    <row r="12" ht="24" customHeight="1">
      <c r="A12" s="36" t="inlineStr">
        <is>
          <t>JAB-2026-NIHR-009</t>
        </is>
      </c>
      <c r="B12" s="8" t="inlineStr">
        <is>
          <t>20/08/2026</t>
        </is>
      </c>
      <c r="C12" s="9" t="inlineStr">
        <is>
          <t>NIHARA RESORTS AND SPA</t>
        </is>
      </c>
      <c r="D12" s="42" t="inlineStr">
        <is>
          <t>32AAGCB0650E1ZC</t>
        </is>
      </c>
      <c r="E12" s="10" t="n">
        <v>65000</v>
      </c>
      <c r="F12" s="10" t="n">
        <v>5850</v>
      </c>
      <c r="G12" s="10" t="n">
        <v>5850</v>
      </c>
      <c r="H12" s="10">
        <f>F12+G12</f>
        <v/>
      </c>
      <c r="I12" s="10" t="n">
        <v>76700</v>
      </c>
      <c r="J12" s="9" t="inlineStr">
        <is>
          <t>Social &amp; Digital Media Management (Retainership: 15 July - 15 August 2026)</t>
        </is>
      </c>
      <c r="K12" s="8" t="inlineStr">
        <is>
          <t>B2B Regular</t>
        </is>
      </c>
      <c r="L12" s="9" t="inlineStr">
        <is>
          <t>Received on 24/08 (₹75,400 net of ₹1,300 TDS)</t>
        </is>
      </c>
    </row>
    <row r="13" ht="25" customHeight="1">
      <c r="A13" s="24" t="inlineStr">
        <is>
          <t>Total Sales Invoiced</t>
        </is>
      </c>
      <c r="B13" s="14" t="n"/>
      <c r="C13" s="14" t="n"/>
      <c r="D13" s="14" t="n"/>
      <c r="E13" s="15">
        <f>SUM(E8:E12)</f>
        <v/>
      </c>
      <c r="F13" s="15">
        <f>SUM(F8:F12)</f>
        <v/>
      </c>
      <c r="G13" s="15">
        <f>SUM(G8:G12)</f>
        <v/>
      </c>
      <c r="H13" s="15">
        <f>SUM(H8:H12)</f>
        <v/>
      </c>
      <c r="I13" s="15">
        <f>SUM(I8:I12)</f>
        <v/>
      </c>
      <c r="J13" s="14" t="n"/>
      <c r="K13" s="14" t="n"/>
      <c r="L13" s="14" t="n"/>
    </row>
  </sheetData>
  <mergeCells count="6">
    <mergeCell ref="B5:C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2" customWidth="1" min="2" max="2"/>
    <col width="16" customWidth="1" min="3" max="3"/>
    <col width="22" customWidth="1" min="4" max="4"/>
    <col width="22" customWidth="1" min="5" max="5"/>
    <col width="18" customWidth="1" min="6" max="6"/>
    <col width="18" customWidth="1" min="7" max="7"/>
    <col width="24" customWidth="1" min="8" max="8"/>
    <col width="50" customWidth="1" min="9" max="9"/>
  </cols>
  <sheetData>
    <row r="1" ht="24" customHeight="1">
      <c r="A1" s="1" t="inlineStr">
        <is>
          <t>JAB MEDIA LAB  |  AUDIT RECONCILIATION &amp; TDS SCHEDULE</t>
        </is>
      </c>
    </row>
    <row r="2" ht="18" customHeight="1">
      <c r="A2" s="2" t="inlineStr">
        <is>
          <t>Complete Cross-Audit of Invoices vs Bank Deposits &amp; 2% TDS Deductions</t>
        </is>
      </c>
    </row>
    <row r="4">
      <c r="A4" s="43" t="inlineStr">
        <is>
          <t>CLIENT INVOICE COLLECTIONS VS BANK DEPOSITS (TDS 2% RECONCILIATION)</t>
        </is>
      </c>
    </row>
    <row r="5" ht="25" customHeight="1">
      <c r="A5" s="44" t="inlineStr">
        <is>
          <t>Invoice No.</t>
        </is>
      </c>
      <c r="B5" s="44" t="inlineStr">
        <is>
          <t>Client Name</t>
        </is>
      </c>
      <c r="C5" s="44" t="inlineStr">
        <is>
          <t>Invoice Total</t>
        </is>
      </c>
      <c r="D5" s="44" t="inlineStr">
        <is>
          <t>Bank Deposit Date</t>
        </is>
      </c>
      <c r="E5" s="44" t="inlineStr">
        <is>
          <t>Bank Received Amount</t>
        </is>
      </c>
      <c r="F5" s="44" t="inlineStr">
        <is>
          <t>TDS Deducted (2%)</t>
        </is>
      </c>
      <c r="G5" s="44" t="inlineStr">
        <is>
          <t>Balance Due</t>
        </is>
      </c>
      <c r="H5" s="44" t="inlineStr">
        <is>
          <t>Audit Status</t>
        </is>
      </c>
      <c r="I5" s="44" t="inlineStr">
        <is>
          <t>Reconciliation Finding</t>
        </is>
      </c>
    </row>
    <row r="6" ht="21" customHeight="1">
      <c r="A6" s="36" t="inlineStr">
        <is>
          <t>JAB/2026/WG/005</t>
        </is>
      </c>
      <c r="B6" s="9" t="inlineStr">
        <is>
          <t>Wellgenome Biotechnology Pvt Ltd</t>
        </is>
      </c>
      <c r="C6" s="10" t="n">
        <v>35400</v>
      </c>
      <c r="D6" s="8" t="inlineStr">
        <is>
          <t>27/08/2026</t>
        </is>
      </c>
      <c r="E6" s="10" t="n">
        <v>34800</v>
      </c>
      <c r="F6" s="10" t="n">
        <v>600</v>
      </c>
      <c r="G6" s="10">
        <f>C6-(E6+F6)</f>
        <v/>
      </c>
      <c r="H6" s="8" t="inlineStr">
        <is>
          <t>Reconciled (TDS Match)</t>
        </is>
      </c>
      <c r="I6" s="9" t="inlineStr">
        <is>
          <t>Exact match: Client deducted ₹600 (2% on base ₹30,000 u/s 194C/194J)</t>
        </is>
      </c>
    </row>
    <row r="7" ht="21" customHeight="1">
      <c r="A7" s="38" t="inlineStr">
        <is>
          <t>JAB-2026-NIHR-009</t>
        </is>
      </c>
      <c r="B7" s="12" t="inlineStr">
        <is>
          <t>NIHARA RESORTS AND SPA</t>
        </is>
      </c>
      <c r="C7" s="13" t="n">
        <v>76700</v>
      </c>
      <c r="D7" s="11" t="inlineStr">
        <is>
          <t>24/08/2026</t>
        </is>
      </c>
      <c r="E7" s="13" t="n">
        <v>75400</v>
      </c>
      <c r="F7" s="13" t="n">
        <v>1300</v>
      </c>
      <c r="G7" s="13">
        <f>C7-(E7+F7)</f>
        <v/>
      </c>
      <c r="H7" s="11" t="inlineStr">
        <is>
          <t>Reconciled (TDS Match)</t>
        </is>
      </c>
      <c r="I7" s="12" t="inlineStr">
        <is>
          <t>Exact match: Client deducted ₹1,300 (2% on base ₹65,000 u/s 194C/194J)</t>
        </is>
      </c>
    </row>
    <row r="8" ht="21" customHeight="1">
      <c r="A8" s="36" t="inlineStr">
        <is>
          <t>JAB/2026/ALS EXP/03</t>
        </is>
      </c>
      <c r="B8" s="9" t="inlineStr">
        <is>
          <t>Al Sajid Mechanical Equipment LLC</t>
        </is>
      </c>
      <c r="C8" s="10" t="n">
        <v>20000</v>
      </c>
      <c r="D8" s="8" t="inlineStr">
        <is>
          <t>12/08/2026</t>
        </is>
      </c>
      <c r="E8" s="10" t="n">
        <v>40000</v>
      </c>
      <c r="F8" s="10" t="n">
        <v>0</v>
      </c>
      <c r="G8" s="10">
        <f>C8-(E8+F8)</f>
        <v/>
      </c>
      <c r="H8" s="8" t="inlineStr">
        <is>
          <t>Overpaid / Advance</t>
        </is>
      </c>
      <c r="I8" s="9" t="inlineStr">
        <is>
          <t>Client paid ₹40,000 via NEFT (covers 2 months retainer / advance)</t>
        </is>
      </c>
    </row>
    <row r="9" ht="21" customHeight="1">
      <c r="A9" s="38" t="inlineStr">
        <is>
          <t>JAB/2026/WS/006</t>
        </is>
      </c>
      <c r="B9" s="12" t="inlineStr">
        <is>
          <t>Wellness Solutions, Pvt, Ltd</t>
        </is>
      </c>
      <c r="C9" s="13" t="n">
        <v>35400</v>
      </c>
      <c r="D9" s="11" t="inlineStr">
        <is>
          <t>Pending</t>
        </is>
      </c>
      <c r="E9" s="13" t="n">
        <v>0</v>
      </c>
      <c r="F9" s="13" t="n">
        <v>0</v>
      </c>
      <c r="G9" s="13">
        <f>C9-(E9+F9)</f>
        <v/>
      </c>
      <c r="H9" s="11" t="inlineStr">
        <is>
          <t>Pending Collection</t>
        </is>
      </c>
      <c r="I9" s="12" t="inlineStr">
        <is>
          <t>Unpaid in August; debtor balance ₹35,400 carried forward to Sept</t>
        </is>
      </c>
    </row>
    <row r="10" ht="21" customHeight="1">
      <c r="A10" s="36" t="inlineStr">
        <is>
          <t>JAB-2026-NIHR-010</t>
        </is>
      </c>
      <c r="B10" s="9" t="inlineStr">
        <is>
          <t>NIHARA RESORTS AND SPA</t>
        </is>
      </c>
      <c r="C10" s="10" t="n">
        <v>165000</v>
      </c>
      <c r="D10" s="8" t="inlineStr">
        <is>
          <t>Pending</t>
        </is>
      </c>
      <c r="E10" s="10" t="n">
        <v>0</v>
      </c>
      <c r="F10" s="10" t="n">
        <v>0</v>
      </c>
      <c r="G10" s="10">
        <f>C10-(E10+F10)</f>
        <v/>
      </c>
      <c r="H10" s="8" t="inlineStr">
        <is>
          <t>Pending Collection</t>
        </is>
      </c>
      <c r="I10" s="9" t="inlineStr">
        <is>
          <t>Unpaid in August; debtor balance ₹1,65,000 carried forward to Sept</t>
        </is>
      </c>
    </row>
    <row r="11">
      <c r="A11" s="14" t="inlineStr">
        <is>
          <t>Total</t>
        </is>
      </c>
      <c r="B11" s="14" t="n"/>
      <c r="C11" s="15">
        <f>SUM(C6:C10)</f>
        <v/>
      </c>
      <c r="D11" s="14" t="n"/>
      <c r="E11" s="15">
        <f>SUM(E6:E10)</f>
        <v/>
      </c>
      <c r="F11" s="15">
        <f>SUM(F6:F10)</f>
        <v/>
      </c>
      <c r="G11" s="15">
        <f>SUM(G6:G10)</f>
        <v/>
      </c>
      <c r="H11" s="14" t="n"/>
      <c r="I1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2026-09-11T10:03:53Z</dcterms:created>
  <dcterms:modified xmlns:dcterms="http://purl.org/dc/terms/" xmlns:xsi="http://www.w3.org/2001/XMLSchema-instance" xsi:type="dcterms:W3CDTF">2026-09-11T10:03:53Z</dcterms:modified>
</cp:coreProperties>
</file>