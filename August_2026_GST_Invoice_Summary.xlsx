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gust 2026 GST Summary" sheetId="1" state="visible" r:id="rId1"/>
    <sheet xmlns:r="http://schemas.openxmlformats.org/officeDocument/2006/relationships" name="Complete Reconciled GST" sheetId="2" state="visible" r:id="rId2"/>
    <sheet xmlns:r="http://schemas.openxmlformats.org/officeDocument/2006/relationships" name="Itemized Chocolate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4">
    <font>
      <name val="Calibri"/>
      <family val="2"/>
      <color theme="1"/>
      <sz val="11"/>
      <scheme val="minor"/>
    </font>
    <font>
      <name val="Segoe UI"/>
      <b val="1"/>
      <color rgb="001E3A8A"/>
      <sz val="15"/>
    </font>
    <font>
      <name val="Segoe UI"/>
      <i val="1"/>
      <color rgb="00475569"/>
      <sz val="10"/>
    </font>
    <font>
      <name val="Segoe UI"/>
      <b val="1"/>
      <color rgb="00475569"/>
      <sz val="8.5"/>
    </font>
    <font>
      <name val="Segoe UI"/>
      <b val="1"/>
      <color rgb="001E3A8A"/>
      <sz val="13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color rgb="0094A3B8"/>
      <sz val="10"/>
    </font>
    <font>
      <name val="Segoe UI"/>
      <b val="1"/>
      <color rgb="001E3A8A"/>
      <sz val="10"/>
    </font>
    <font>
      <name val="Segoe UI"/>
      <b val="1"/>
      <color rgb="000F172A"/>
      <sz val="10"/>
    </font>
    <font>
      <name val="Segoe UI"/>
      <b val="1"/>
      <color rgb="001E3A8A"/>
      <sz val="11"/>
    </font>
    <font>
      <name val="Segoe UI"/>
      <color rgb="00475569"/>
      <sz val="9.5"/>
    </font>
    <font>
      <name val="Segoe UI"/>
      <b val="1"/>
      <color rgb="00FFFFFF"/>
      <sz val="10.5"/>
    </font>
    <font>
      <name val="Segoe UI"/>
      <b val="1"/>
      <color rgb="00B45309"/>
      <sz val="9.5"/>
    </font>
  </fonts>
  <fills count="9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1E40AF"/>
        <bgColor rgb="001E40AF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475569"/>
      </top>
      <bottom style="double">
        <color rgb="001E293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/>
    </xf>
    <xf numFmtId="0" fontId="9" fillId="6" borderId="2" applyAlignment="1" pivotButton="0" quotePrefix="0" xfId="0">
      <alignment horizontal="left" vertical="center"/>
    </xf>
    <xf numFmtId="0" fontId="9" fillId="6" borderId="2" pivotButton="0" quotePrefix="0" xfId="0"/>
    <xf numFmtId="164" fontId="9" fillId="6" borderId="2" applyAlignment="1" pivotButton="0" quotePrefix="0" xfId="0">
      <alignment horizontal="right" vertical="center"/>
    </xf>
    <xf numFmtId="0" fontId="9" fillId="6" borderId="2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164" fontId="6" fillId="8" borderId="1" applyAlignment="1" pivotButton="0" quotePrefix="0" xfId="0">
      <alignment horizontal="right" vertical="center"/>
    </xf>
    <xf numFmtId="0" fontId="13" fillId="8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1" workbookViewId="0">
      <selection activeCell="A1" sqref="A1"/>
    </sheetView>
  </sheetViews>
  <sheetFormatPr baseColWidth="8" defaultRowHeight="15" outlineLevelCol="0"/>
  <cols>
    <col width="44" customWidth="1" min="1" max="1"/>
    <col width="14" customWidth="1" min="2" max="2"/>
    <col width="36" customWidth="1" min="3" max="3"/>
    <col width="20" customWidth="1" min="4" max="4"/>
    <col width="18" customWidth="1" min="5" max="5"/>
    <col width="14" customWidth="1" min="6" max="6"/>
    <col width="14" customWidth="1" min="7" max="7"/>
    <col width="34" customWidth="1" min="8" max="8"/>
  </cols>
  <sheetData>
    <row r="1" ht="24" customHeight="1">
      <c r="A1" s="1" t="inlineStr">
        <is>
          <t>GUDORIA FOOD INNOVATIONS PRIVATE LIMITED</t>
        </is>
      </c>
    </row>
    <row r="2" ht="18" customHeight="1">
      <c r="A2" s="2" t="inlineStr">
        <is>
          <t>August 2026 GST Invoice Summary  |  Source: AUGUST Invoices (1).zip  |  GSTIN: 32AANCA8181G1ZK</t>
        </is>
      </c>
    </row>
    <row r="4" ht="18" customHeight="1">
      <c r="B4" s="3" t="inlineStr">
        <is>
          <t>TOTAL INVOICES</t>
        </is>
      </c>
      <c r="C4" s="4" t="n"/>
      <c r="D4" s="3" t="inlineStr">
        <is>
          <t>TOTAL TAXABLE VALUE</t>
        </is>
      </c>
      <c r="E4" s="4" t="n"/>
      <c r="F4" s="3" t="inlineStr">
        <is>
          <t>TOTAL CGST</t>
        </is>
      </c>
      <c r="G4" s="3" t="inlineStr">
        <is>
          <t>TOTAL SGST</t>
        </is>
      </c>
      <c r="H4" s="3" t="inlineStr">
        <is>
          <t>TOTAL GST AMOUNT</t>
        </is>
      </c>
    </row>
    <row r="5" ht="24" customHeight="1">
      <c r="B5" s="5" t="n">
        <v>18</v>
      </c>
      <c r="C5" s="4" t="n"/>
      <c r="D5" s="6">
        <f>SUM(E8:E25)</f>
        <v/>
      </c>
      <c r="E5" s="4" t="n"/>
      <c r="F5" s="6">
        <f>SUM(F8:F25)</f>
        <v/>
      </c>
      <c r="G5" s="6">
        <f>SUM(G8:G25)</f>
        <v/>
      </c>
      <c r="H5" s="6">
        <f>F5+G5</f>
        <v/>
      </c>
    </row>
    <row r="6" ht="12" customHeight="1"/>
    <row r="7" ht="28" customHeight="1">
      <c r="A7" s="7" t="inlineStr">
        <is>
          <t>Invoice No.</t>
        </is>
      </c>
      <c r="B7" s="7" t="inlineStr">
        <is>
          <t>Date</t>
        </is>
      </c>
      <c r="C7" s="7" t="inlineStr">
        <is>
          <t>Party</t>
        </is>
      </c>
      <c r="D7" s="7" t="inlineStr">
        <is>
          <t>Party GSTIN</t>
        </is>
      </c>
      <c r="E7" s="7" t="inlineStr">
        <is>
          <t>Taxable Value</t>
        </is>
      </c>
      <c r="F7" s="7" t="inlineStr">
        <is>
          <t>CGST</t>
        </is>
      </c>
      <c r="G7" s="7" t="inlineStr">
        <is>
          <t>SGST</t>
        </is>
      </c>
      <c r="H7" s="7" t="inlineStr">
        <is>
          <t>Chocolate Quantity</t>
        </is>
      </c>
    </row>
    <row r="8" ht="21" customHeight="1">
      <c r="A8" s="8" t="inlineStr">
        <is>
          <t>Invoice-1153-GUD-2026-IntegratedDesig</t>
        </is>
      </c>
      <c r="B8" s="9" t="inlineStr">
        <is>
          <t>01/08/2026</t>
        </is>
      </c>
      <c r="C8" s="8" t="inlineStr">
        <is>
          <t>Moby (Integrated Design)</t>
        </is>
      </c>
      <c r="D8" s="10" t="inlineStr">
        <is>
          <t>-</t>
        </is>
      </c>
      <c r="E8" s="11" t="n">
        <v>742.86</v>
      </c>
      <c r="F8" s="11" t="n">
        <v>18.57</v>
      </c>
      <c r="G8" s="11" t="n">
        <v>18.57</v>
      </c>
      <c r="H8" s="9" t="inlineStr">
        <is>
          <t>6 bars</t>
        </is>
      </c>
    </row>
    <row r="9" ht="21" customHeight="1">
      <c r="A9" s="12" t="inlineStr">
        <is>
          <t>Invoice-1154-GUD-2026-Naveen</t>
        </is>
      </c>
      <c r="B9" s="13" t="inlineStr">
        <is>
          <t>01/08/2026</t>
        </is>
      </c>
      <c r="C9" s="12" t="inlineStr">
        <is>
          <t>Naveen</t>
        </is>
      </c>
      <c r="D9" s="14" t="inlineStr">
        <is>
          <t>-</t>
        </is>
      </c>
      <c r="E9" s="15" t="n">
        <v>866.67</v>
      </c>
      <c r="F9" s="15" t="n">
        <v>21.67</v>
      </c>
      <c r="G9" s="15" t="n">
        <v>21.67</v>
      </c>
      <c r="H9" s="13" t="inlineStr">
        <is>
          <t>7 bars</t>
        </is>
      </c>
    </row>
    <row r="10" ht="21" customHeight="1">
      <c r="A10" s="8" t="inlineStr">
        <is>
          <t>Invoice-1155-GUD-2026-JJDentalClinic</t>
        </is>
      </c>
      <c r="B10" s="9" t="inlineStr">
        <is>
          <t>31/07/2026</t>
        </is>
      </c>
      <c r="C10" s="8" t="inlineStr">
        <is>
          <t>Abin Abraham (J J Dental Clinic)</t>
        </is>
      </c>
      <c r="D10" s="10" t="inlineStr">
        <is>
          <t>-</t>
        </is>
      </c>
      <c r="E10" s="11" t="n">
        <v>371.43</v>
      </c>
      <c r="F10" s="11" t="n">
        <v>9.289999999999999</v>
      </c>
      <c r="G10" s="11" t="n">
        <v>9.289999999999999</v>
      </c>
      <c r="H10" s="9" t="inlineStr">
        <is>
          <t>3 bars</t>
        </is>
      </c>
    </row>
    <row r="11" ht="21" customHeight="1">
      <c r="A11" s="12" t="inlineStr">
        <is>
          <t>Invoice-1156-GUD-2026-Royal Enfield Street</t>
        </is>
      </c>
      <c r="B11" s="13" t="inlineStr">
        <is>
          <t>08/08/2026</t>
        </is>
      </c>
      <c r="C11" s="12" t="inlineStr">
        <is>
          <t>Royal Enfield Street</t>
        </is>
      </c>
      <c r="D11" s="14" t="inlineStr">
        <is>
          <t>-</t>
        </is>
      </c>
      <c r="E11" s="15" t="n">
        <v>6142.86</v>
      </c>
      <c r="F11" s="15" t="n">
        <v>153.57</v>
      </c>
      <c r="G11" s="15" t="n">
        <v>153.57</v>
      </c>
      <c r="H11" s="13" t="inlineStr">
        <is>
          <t>43 bars</t>
        </is>
      </c>
    </row>
    <row r="12" ht="21" customHeight="1">
      <c r="A12" s="8" t="inlineStr">
        <is>
          <t>Invoice-1157-GUD-2026-Dr faraz</t>
        </is>
      </c>
      <c r="B12" s="9" t="inlineStr">
        <is>
          <t>05/08/2026</t>
        </is>
      </c>
      <c r="C12" s="8" t="inlineStr">
        <is>
          <t>Dr faraz</t>
        </is>
      </c>
      <c r="D12" s="10" t="inlineStr">
        <is>
          <t>-</t>
        </is>
      </c>
      <c r="E12" s="11" t="n">
        <v>742.86</v>
      </c>
      <c r="F12" s="11" t="n">
        <v>18.57</v>
      </c>
      <c r="G12" s="11" t="n">
        <v>18.57</v>
      </c>
      <c r="H12" s="9" t="inlineStr">
        <is>
          <t>6 bars</t>
        </is>
      </c>
    </row>
    <row r="13" ht="21" customHeight="1">
      <c r="A13" s="12" t="inlineStr">
        <is>
          <t>Invoice-1158-GUD-2026-Praveen</t>
        </is>
      </c>
      <c r="B13" s="13" t="inlineStr">
        <is>
          <t>05/08/2026</t>
        </is>
      </c>
      <c r="C13" s="12" t="inlineStr">
        <is>
          <t>Praveen</t>
        </is>
      </c>
      <c r="D13" s="14" t="inlineStr">
        <is>
          <t>-</t>
        </is>
      </c>
      <c r="E13" s="15" t="n">
        <v>247.62</v>
      </c>
      <c r="F13" s="15" t="n">
        <v>6.19</v>
      </c>
      <c r="G13" s="15" t="n">
        <v>6.19</v>
      </c>
      <c r="H13" s="13" t="inlineStr">
        <is>
          <t>2 bars</t>
        </is>
      </c>
    </row>
    <row r="14" ht="21" customHeight="1">
      <c r="A14" s="8" t="inlineStr">
        <is>
          <t>Invoice-1159-GUD-2026-Kannan Michael</t>
        </is>
      </c>
      <c r="B14" s="9" t="inlineStr">
        <is>
          <t>05/08/2026</t>
        </is>
      </c>
      <c r="C14" s="8" t="inlineStr">
        <is>
          <t>Kannan Michael</t>
        </is>
      </c>
      <c r="D14" s="10" t="inlineStr">
        <is>
          <t>-</t>
        </is>
      </c>
      <c r="E14" s="11" t="n">
        <v>247.62</v>
      </c>
      <c r="F14" s="11" t="n">
        <v>6.19</v>
      </c>
      <c r="G14" s="11" t="n">
        <v>6.19</v>
      </c>
      <c r="H14" s="9" t="inlineStr">
        <is>
          <t>2 bars</t>
        </is>
      </c>
    </row>
    <row r="15" ht="21" customHeight="1">
      <c r="A15" s="12" t="inlineStr">
        <is>
          <t>Invoice-1160-GUD-2026-Capt Mohanlal</t>
        </is>
      </c>
      <c r="B15" s="13" t="inlineStr">
        <is>
          <t>05/08/2026</t>
        </is>
      </c>
      <c r="C15" s="12" t="inlineStr">
        <is>
          <t>Capt Mohanlal</t>
        </is>
      </c>
      <c r="D15" s="14" t="inlineStr">
        <is>
          <t>-</t>
        </is>
      </c>
      <c r="E15" s="15" t="n">
        <v>371.43</v>
      </c>
      <c r="F15" s="15" t="n">
        <v>9.289999999999999</v>
      </c>
      <c r="G15" s="15" t="n">
        <v>9.289999999999999</v>
      </c>
      <c r="H15" s="13" t="inlineStr">
        <is>
          <t>3 bars</t>
        </is>
      </c>
    </row>
    <row r="16" ht="21" customHeight="1">
      <c r="A16" s="8" t="inlineStr">
        <is>
          <t>Invoice-1161-GUD-2026-Mani Kuttan</t>
        </is>
      </c>
      <c r="B16" s="9" t="inlineStr">
        <is>
          <t>05/08/2026</t>
        </is>
      </c>
      <c r="C16" s="8" t="inlineStr">
        <is>
          <t>Mani Kuttan</t>
        </is>
      </c>
      <c r="D16" s="10" t="inlineStr">
        <is>
          <t>-</t>
        </is>
      </c>
      <c r="E16" s="11" t="n">
        <v>742.86</v>
      </c>
      <c r="F16" s="11" t="n">
        <v>18.57</v>
      </c>
      <c r="G16" s="11" t="n">
        <v>18.57</v>
      </c>
      <c r="H16" s="9" t="inlineStr">
        <is>
          <t>6 bars</t>
        </is>
      </c>
    </row>
    <row r="17" ht="21" customHeight="1">
      <c r="A17" s="12" t="inlineStr">
        <is>
          <t>Invoice-1162-GUD-2026-Dinil</t>
        </is>
      </c>
      <c r="B17" s="13" t="inlineStr">
        <is>
          <t>05/08/2026</t>
        </is>
      </c>
      <c r="C17" s="12" t="inlineStr">
        <is>
          <t>Dinil</t>
        </is>
      </c>
      <c r="D17" s="14" t="inlineStr">
        <is>
          <t>-</t>
        </is>
      </c>
      <c r="E17" s="15" t="n">
        <v>1238.1</v>
      </c>
      <c r="F17" s="15" t="n">
        <v>30.95</v>
      </c>
      <c r="G17" s="15" t="n">
        <v>30.95</v>
      </c>
      <c r="H17" s="13" t="inlineStr">
        <is>
          <t>10 bars</t>
        </is>
      </c>
    </row>
    <row r="18" ht="21" customHeight="1">
      <c r="A18" s="8" t="inlineStr">
        <is>
          <t>Invoice-1163-GUD-2026-Zlan Creations Private Limited</t>
        </is>
      </c>
      <c r="B18" s="9" t="inlineStr">
        <is>
          <t>19/08/2026</t>
        </is>
      </c>
      <c r="C18" s="8" t="inlineStr">
        <is>
          <t>Zlan Creations Private Limited</t>
        </is>
      </c>
      <c r="D18" s="16" t="inlineStr">
        <is>
          <t>32AACCZ1710D1ZZ</t>
        </is>
      </c>
      <c r="E18" s="11" t="n">
        <v>833.33</v>
      </c>
      <c r="F18" s="11" t="n">
        <v>20.83</v>
      </c>
      <c r="G18" s="11" t="n">
        <v>20.83</v>
      </c>
      <c r="H18" s="9" t="inlineStr">
        <is>
          <t>7 bars</t>
        </is>
      </c>
    </row>
    <row r="19" ht="21" customHeight="1">
      <c r="A19" s="12" t="inlineStr">
        <is>
          <t>1164-GUD-2025-TAJ MALABAR RESORT &amp; SPA</t>
        </is>
      </c>
      <c r="B19" s="13" t="inlineStr">
        <is>
          <t>17/08/2026</t>
        </is>
      </c>
      <c r="C19" s="12" t="inlineStr">
        <is>
          <t>TAJ MALABAR RESORT &amp; SPA</t>
        </is>
      </c>
      <c r="D19" s="14" t="inlineStr">
        <is>
          <t>-</t>
        </is>
      </c>
      <c r="E19" s="15" t="n">
        <v>111200</v>
      </c>
      <c r="F19" s="15" t="n">
        <v>7115.5</v>
      </c>
      <c r="G19" s="15" t="n">
        <v>7115.5</v>
      </c>
      <c r="H19" s="13" t="inlineStr">
        <is>
          <t>300 units (250 bars + 50 boxes)</t>
        </is>
      </c>
    </row>
    <row r="20" ht="21" customHeight="1">
      <c r="A20" s="8" t="inlineStr">
        <is>
          <t>Invoice-1165-GUD-2026-Sreekumar C</t>
        </is>
      </c>
      <c r="B20" s="9" t="inlineStr">
        <is>
          <t>21/08/2026</t>
        </is>
      </c>
      <c r="C20" s="8" t="inlineStr">
        <is>
          <t>Sreekumar C</t>
        </is>
      </c>
      <c r="D20" s="10" t="inlineStr">
        <is>
          <t>-</t>
        </is>
      </c>
      <c r="E20" s="11" t="n">
        <v>1389</v>
      </c>
      <c r="F20" s="11" t="n">
        <v>40.51</v>
      </c>
      <c r="G20" s="11" t="n">
        <v>40.51</v>
      </c>
      <c r="H20" s="9" t="inlineStr">
        <is>
          <t>1 Hamper</t>
        </is>
      </c>
    </row>
    <row r="21" ht="21" customHeight="1">
      <c r="A21" s="12" t="inlineStr">
        <is>
          <t>Invoice-1166-GUD-2026-Anand Sagar</t>
        </is>
      </c>
      <c r="B21" s="13" t="inlineStr">
        <is>
          <t>21/08/2026</t>
        </is>
      </c>
      <c r="C21" s="12" t="inlineStr">
        <is>
          <t>Anand Sagar</t>
        </is>
      </c>
      <c r="D21" s="14" t="inlineStr">
        <is>
          <t>-</t>
        </is>
      </c>
      <c r="E21" s="15" t="n">
        <v>476.19</v>
      </c>
      <c r="F21" s="15" t="n">
        <v>11.9</v>
      </c>
      <c r="G21" s="15" t="n">
        <v>11.9</v>
      </c>
      <c r="H21" s="13" t="inlineStr">
        <is>
          <t>4 bars</t>
        </is>
      </c>
    </row>
    <row r="22" ht="21" customHeight="1">
      <c r="A22" s="8" t="inlineStr">
        <is>
          <t>Invoice-1168-GUD-2026-Nihara Resort &amp; Spa</t>
        </is>
      </c>
      <c r="B22" s="9" t="inlineStr">
        <is>
          <t>24/08/2026</t>
        </is>
      </c>
      <c r="C22" s="8" t="inlineStr">
        <is>
          <t>Nihara Resort &amp; Spa</t>
        </is>
      </c>
      <c r="D22" s="16" t="inlineStr">
        <is>
          <t>32AAGCB0650E1ZC</t>
        </is>
      </c>
      <c r="E22" s="11" t="n">
        <v>7760</v>
      </c>
      <c r="F22" s="11" t="n">
        <v>194</v>
      </c>
      <c r="G22" s="11" t="n">
        <v>194</v>
      </c>
      <c r="H22" s="9" t="inlineStr">
        <is>
          <t>80 bars</t>
        </is>
      </c>
    </row>
    <row r="23" ht="21" customHeight="1">
      <c r="A23" s="12" t="inlineStr">
        <is>
          <t>Invoice-1169-GUD-2026-Divyanshi</t>
        </is>
      </c>
      <c r="B23" s="13" t="inlineStr">
        <is>
          <t>24/08/2026</t>
        </is>
      </c>
      <c r="C23" s="12" t="inlineStr">
        <is>
          <t>Divyanshi</t>
        </is>
      </c>
      <c r="D23" s="14" t="inlineStr">
        <is>
          <t>-</t>
        </is>
      </c>
      <c r="E23" s="15" t="n">
        <v>1998</v>
      </c>
      <c r="F23" s="15" t="n">
        <v>49.95</v>
      </c>
      <c r="G23" s="15" t="n">
        <v>49.95</v>
      </c>
      <c r="H23" s="13" t="inlineStr">
        <is>
          <t>2 Hampers</t>
        </is>
      </c>
    </row>
    <row r="24" ht="21" customHeight="1">
      <c r="A24" s="8" t="inlineStr">
        <is>
          <t>Invoice-1170-GUD-2026-Ansal</t>
        </is>
      </c>
      <c r="B24" s="9" t="inlineStr">
        <is>
          <t>24/08/2026</t>
        </is>
      </c>
      <c r="C24" s="8" t="inlineStr">
        <is>
          <t>Ansal (RABAH International)</t>
        </is>
      </c>
      <c r="D24" s="10" t="inlineStr">
        <is>
          <t>-</t>
        </is>
      </c>
      <c r="E24" s="11" t="n">
        <v>1700</v>
      </c>
      <c r="F24" s="11" t="n">
        <v>42.5</v>
      </c>
      <c r="G24" s="11" t="n">
        <v>42.5</v>
      </c>
      <c r="H24" s="9" t="inlineStr">
        <is>
          <t>2 Hampers</t>
        </is>
      </c>
    </row>
    <row r="25" ht="21" customHeight="1">
      <c r="A25" s="12" t="inlineStr">
        <is>
          <t>Invoice-1171-GUD-2026-Naveen</t>
        </is>
      </c>
      <c r="B25" s="13" t="inlineStr">
        <is>
          <t>29/08/2026</t>
        </is>
      </c>
      <c r="C25" s="12" t="inlineStr">
        <is>
          <t>Naveen Kumar</t>
        </is>
      </c>
      <c r="D25" s="14" t="inlineStr">
        <is>
          <t>-</t>
        </is>
      </c>
      <c r="E25" s="15" t="n">
        <v>60000</v>
      </c>
      <c r="F25" s="15" t="n">
        <v>1500</v>
      </c>
      <c r="G25" s="15" t="n">
        <v>1500</v>
      </c>
      <c r="H25" s="13" t="inlineStr">
        <is>
          <t>30 Hampers</t>
        </is>
      </c>
    </row>
    <row r="26" ht="25" customHeight="1">
      <c r="A26" s="17" t="inlineStr">
        <is>
          <t>Total</t>
        </is>
      </c>
      <c r="B26" s="18" t="inlineStr"/>
      <c r="C26" s="18" t="inlineStr"/>
      <c r="D26" s="18" t="inlineStr"/>
      <c r="E26" s="19">
        <f>SUM(E8:E25)</f>
        <v/>
      </c>
      <c r="F26" s="19">
        <f>SUM(F8:F25)</f>
        <v/>
      </c>
      <c r="G26" s="19">
        <f>SUM(G8:G25)</f>
        <v/>
      </c>
      <c r="H26" s="20" t="inlineStr">
        <is>
          <t>475 bars / units*</t>
        </is>
      </c>
    </row>
    <row r="28">
      <c r="A28" s="21" t="inlineStr">
        <is>
          <t>Notes &amp; Observations for GST Filing:</t>
        </is>
      </c>
    </row>
    <row r="29">
      <c r="A29" s="22" t="inlineStr">
        <is>
          <t>1. B2B Registered Invoices: Invoice-1163 (Zlan Creations - 32AACCZ1710D1ZZ) &amp; Invoice-1168 (Nihara Resort - 32AAGCB0650E1ZC). All other 16 invoices are B2C (Unregistered).</t>
        </is>
      </c>
    </row>
    <row r="30">
      <c r="A30" s="22" t="inlineStr">
        <is>
          <t>2. Multi-Rate Invoice: 1164 (Taj Malabar) includes 5% GST on chocolates (Taxable ₹44,500, GST ₹2,225) and 18% GST on packaging/crafts (Taxable ₹66,700, GST ₹12,006). Total CGST = ₹7,115.50, SGST = ₹7,115.50.</t>
        </is>
      </c>
    </row>
    <row r="31">
      <c r="A31" s="22" t="inlineStr">
        <is>
          <t>3. Courier GST on Invoice-1165: Includes ₹89 courier shipping @ 18% GST (CGST ₹8.01, SGST ₹8.01) + ₹1,300 Hamper @ 5% GST (CGST ₹32.50, SGST ₹32.50). Total CGST = ₹40.51, SGST = ₹40.51.</t>
        </is>
      </c>
    </row>
    <row r="32">
      <c r="A32" s="22" t="inlineStr">
        <is>
          <t>4. Additional August Invoices to Review: See Tab 'Complete Reconciled GST' for Invoice-1167 (Arun Varghese, 24/08/2026, Taxable ₹37,429.32) which was present in 'August invoices.zip' and Invoice-1152 (Sprout Rite Enterprises, 29/07/2026, Taxable ₹7,428.57).</t>
        </is>
      </c>
    </row>
  </sheetData>
  <mergeCells count="4">
    <mergeCell ref="B5:C5"/>
    <mergeCell ref="B4:C4"/>
    <mergeCell ref="D5:E5"/>
    <mergeCell ref="D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1" workbookViewId="0">
      <selection activeCell="A1" sqref="A1"/>
    </sheetView>
  </sheetViews>
  <sheetFormatPr baseColWidth="8" defaultRowHeight="15" outlineLevelCol="0"/>
  <cols>
    <col width="44" customWidth="1" min="1" max="1"/>
    <col width="13" customWidth="1" min="2" max="2"/>
    <col width="36" customWidth="1" min="3" max="3"/>
    <col width="20" customWidth="1" min="4" max="4"/>
    <col width="17" customWidth="1" min="5" max="5"/>
    <col width="13" customWidth="1" min="6" max="6"/>
    <col width="13" customWidth="1" min="7" max="7"/>
    <col width="15" customWidth="1" min="8" max="8"/>
    <col width="17" customWidth="1" min="9" max="9"/>
    <col width="32" customWidth="1" min="10" max="10"/>
    <col width="16" customWidth="1" min="11" max="11"/>
    <col width="48" customWidth="1" min="12" max="12"/>
  </cols>
  <sheetData>
    <row r="1" ht="24" customHeight="1">
      <c r="A1" s="1" t="inlineStr">
        <is>
          <t>GUDORIA FOOD INNOVATIONS PRIVATE LIMITED</t>
        </is>
      </c>
    </row>
    <row r="2" ht="18" customHeight="1">
      <c r="A2" s="2" t="inlineStr">
        <is>
          <t>Complete August 2026 GST Reconciliation (Including Omitted Invoice-1167 &amp; Invoice-1152)</t>
        </is>
      </c>
    </row>
    <row r="4" ht="28" customHeight="1">
      <c r="A4" s="23" t="inlineStr">
        <is>
          <t>Invoice No.</t>
        </is>
      </c>
      <c r="B4" s="23" t="inlineStr">
        <is>
          <t>Date</t>
        </is>
      </c>
      <c r="C4" s="23" t="inlineStr">
        <is>
          <t>Party</t>
        </is>
      </c>
      <c r="D4" s="23" t="inlineStr">
        <is>
          <t>Party GSTIN</t>
        </is>
      </c>
      <c r="E4" s="23" t="inlineStr">
        <is>
          <t>Taxable Value</t>
        </is>
      </c>
      <c r="F4" s="23" t="inlineStr">
        <is>
          <t>CGST</t>
        </is>
      </c>
      <c r="G4" s="23" t="inlineStr">
        <is>
          <t>SGST</t>
        </is>
      </c>
      <c r="H4" s="23" t="inlineStr">
        <is>
          <t>Total GST</t>
        </is>
      </c>
      <c r="I4" s="23" t="inlineStr">
        <is>
          <t>Invoice Total</t>
        </is>
      </c>
      <c r="J4" s="23" t="inlineStr">
        <is>
          <t>Chocolate Quantity</t>
        </is>
      </c>
      <c r="K4" s="23" t="inlineStr">
        <is>
          <t>Filing Category</t>
        </is>
      </c>
      <c r="L4" s="23" t="inlineStr">
        <is>
          <t>Status / Reconciliation Note</t>
        </is>
      </c>
    </row>
    <row r="5" ht="21" customHeight="1">
      <c r="A5" s="8" t="inlineStr">
        <is>
          <t>Invoice-1153-GUD-2026-IntegratedDesig</t>
        </is>
      </c>
      <c r="B5" s="9" t="inlineStr">
        <is>
          <t>01/08/2026</t>
        </is>
      </c>
      <c r="C5" s="8" t="inlineStr">
        <is>
          <t>Moby (Integrated Design)</t>
        </is>
      </c>
      <c r="D5" s="9" t="inlineStr">
        <is>
          <t>-</t>
        </is>
      </c>
      <c r="E5" s="11" t="n">
        <v>742.86</v>
      </c>
      <c r="F5" s="11" t="n">
        <v>18.57</v>
      </c>
      <c r="G5" s="11" t="n">
        <v>18.57</v>
      </c>
      <c r="H5" s="11" t="n">
        <v>37.14</v>
      </c>
      <c r="I5" s="11" t="n">
        <v>780</v>
      </c>
      <c r="J5" s="9" t="inlineStr">
        <is>
          <t>6 bars</t>
        </is>
      </c>
      <c r="K5" s="9" t="inlineStr">
        <is>
          <t>B2C Others</t>
        </is>
      </c>
      <c r="L5" s="8" t="inlineStr">
        <is>
          <t>In AUGUST Invoices (1).zip</t>
        </is>
      </c>
    </row>
    <row r="6" ht="21" customHeight="1">
      <c r="A6" s="12" t="inlineStr">
        <is>
          <t>Invoice-1154-GUD-2026-Naveen</t>
        </is>
      </c>
      <c r="B6" s="13" t="inlineStr">
        <is>
          <t>01/08/2026</t>
        </is>
      </c>
      <c r="C6" s="12" t="inlineStr">
        <is>
          <t>Naveen</t>
        </is>
      </c>
      <c r="D6" s="13" t="inlineStr">
        <is>
          <t>-</t>
        </is>
      </c>
      <c r="E6" s="15" t="n">
        <v>866.67</v>
      </c>
      <c r="F6" s="15" t="n">
        <v>21.67</v>
      </c>
      <c r="G6" s="15" t="n">
        <v>21.67</v>
      </c>
      <c r="H6" s="15" t="n">
        <v>43.34</v>
      </c>
      <c r="I6" s="15" t="n">
        <v>910</v>
      </c>
      <c r="J6" s="13" t="inlineStr">
        <is>
          <t>7 bars</t>
        </is>
      </c>
      <c r="K6" s="13" t="inlineStr">
        <is>
          <t>B2C Others</t>
        </is>
      </c>
      <c r="L6" s="12" t="inlineStr">
        <is>
          <t>In AUGUST Invoices (1).zip</t>
        </is>
      </c>
    </row>
    <row r="7" ht="21" customHeight="1">
      <c r="A7" s="8" t="inlineStr">
        <is>
          <t>Invoice-1155-GUD-2026-JJDentalClinic</t>
        </is>
      </c>
      <c r="B7" s="9" t="inlineStr">
        <is>
          <t>31/07/2026</t>
        </is>
      </c>
      <c r="C7" s="8" t="inlineStr">
        <is>
          <t>Abin Abraham (J J Dental Clinic)</t>
        </is>
      </c>
      <c r="D7" s="9" t="inlineStr">
        <is>
          <t>-</t>
        </is>
      </c>
      <c r="E7" s="11" t="n">
        <v>371.43</v>
      </c>
      <c r="F7" s="11" t="n">
        <v>9.289999999999999</v>
      </c>
      <c r="G7" s="11" t="n">
        <v>9.289999999999999</v>
      </c>
      <c r="H7" s="11" t="n">
        <v>18.58</v>
      </c>
      <c r="I7" s="11" t="n">
        <v>390</v>
      </c>
      <c r="J7" s="9" t="inlineStr">
        <is>
          <t>3 bars</t>
        </is>
      </c>
      <c r="K7" s="9" t="inlineStr">
        <is>
          <t>B2C Others</t>
        </is>
      </c>
      <c r="L7" s="8" t="inlineStr">
        <is>
          <t>In AUGUST Invoices (1).zip (dated 31/07)</t>
        </is>
      </c>
    </row>
    <row r="8" ht="21" customHeight="1">
      <c r="A8" s="12" t="inlineStr">
        <is>
          <t>Invoice-1156-GUD-2026-Royal Enfield Street</t>
        </is>
      </c>
      <c r="B8" s="13" t="inlineStr">
        <is>
          <t>08/08/2026</t>
        </is>
      </c>
      <c r="C8" s="12" t="inlineStr">
        <is>
          <t>Royal Enfield Street</t>
        </is>
      </c>
      <c r="D8" s="13" t="inlineStr">
        <is>
          <t>-</t>
        </is>
      </c>
      <c r="E8" s="15" t="n">
        <v>6142.86</v>
      </c>
      <c r="F8" s="15" t="n">
        <v>153.57</v>
      </c>
      <c r="G8" s="15" t="n">
        <v>153.57</v>
      </c>
      <c r="H8" s="15" t="n">
        <v>307.14</v>
      </c>
      <c r="I8" s="15" t="n">
        <v>6430</v>
      </c>
      <c r="J8" s="13" t="inlineStr">
        <is>
          <t>43 bars</t>
        </is>
      </c>
      <c r="K8" s="13" t="inlineStr">
        <is>
          <t>B2C Others</t>
        </is>
      </c>
      <c r="L8" s="12" t="inlineStr">
        <is>
          <t>In AUGUST Invoices (1).zip (Discount ₹20)</t>
        </is>
      </c>
    </row>
    <row r="9" ht="21" customHeight="1">
      <c r="A9" s="8" t="inlineStr">
        <is>
          <t>Invoice-1157-GUD-2026-Dr faraz</t>
        </is>
      </c>
      <c r="B9" s="9" t="inlineStr">
        <is>
          <t>05/08/2026</t>
        </is>
      </c>
      <c r="C9" s="8" t="inlineStr">
        <is>
          <t>Dr faraz</t>
        </is>
      </c>
      <c r="D9" s="9" t="inlineStr">
        <is>
          <t>-</t>
        </is>
      </c>
      <c r="E9" s="11" t="n">
        <v>742.86</v>
      </c>
      <c r="F9" s="11" t="n">
        <v>18.57</v>
      </c>
      <c r="G9" s="11" t="n">
        <v>18.57</v>
      </c>
      <c r="H9" s="11" t="n">
        <v>37.14</v>
      </c>
      <c r="I9" s="11" t="n">
        <v>780</v>
      </c>
      <c r="J9" s="9" t="inlineStr">
        <is>
          <t>6 bars</t>
        </is>
      </c>
      <c r="K9" s="9" t="inlineStr">
        <is>
          <t>B2C Others</t>
        </is>
      </c>
      <c r="L9" s="8" t="inlineStr">
        <is>
          <t>In AUGUST Invoices (1).zip</t>
        </is>
      </c>
    </row>
    <row r="10" ht="21" customHeight="1">
      <c r="A10" s="12" t="inlineStr">
        <is>
          <t>Invoice-1158-GUD-2026-Praveen</t>
        </is>
      </c>
      <c r="B10" s="13" t="inlineStr">
        <is>
          <t>05/08/2026</t>
        </is>
      </c>
      <c r="C10" s="12" t="inlineStr">
        <is>
          <t>Praveen</t>
        </is>
      </c>
      <c r="D10" s="13" t="inlineStr">
        <is>
          <t>-</t>
        </is>
      </c>
      <c r="E10" s="15" t="n">
        <v>247.62</v>
      </c>
      <c r="F10" s="15" t="n">
        <v>6.19</v>
      </c>
      <c r="G10" s="15" t="n">
        <v>6.19</v>
      </c>
      <c r="H10" s="15" t="n">
        <v>12.38</v>
      </c>
      <c r="I10" s="15" t="n">
        <v>260</v>
      </c>
      <c r="J10" s="13" t="inlineStr">
        <is>
          <t>2 bars</t>
        </is>
      </c>
      <c r="K10" s="13" t="inlineStr">
        <is>
          <t>B2C Others</t>
        </is>
      </c>
      <c r="L10" s="12" t="inlineStr">
        <is>
          <t>In AUGUST Invoices (1).zip</t>
        </is>
      </c>
    </row>
    <row r="11" ht="21" customHeight="1">
      <c r="A11" s="8" t="inlineStr">
        <is>
          <t>Invoice-1159-GUD-2026-Kannan Michael</t>
        </is>
      </c>
      <c r="B11" s="9" t="inlineStr">
        <is>
          <t>05/08/2026</t>
        </is>
      </c>
      <c r="C11" s="8" t="inlineStr">
        <is>
          <t>Kannan Michael</t>
        </is>
      </c>
      <c r="D11" s="9" t="inlineStr">
        <is>
          <t>-</t>
        </is>
      </c>
      <c r="E11" s="11" t="n">
        <v>247.62</v>
      </c>
      <c r="F11" s="11" t="n">
        <v>6.19</v>
      </c>
      <c r="G11" s="11" t="n">
        <v>6.19</v>
      </c>
      <c r="H11" s="11" t="n">
        <v>12.38</v>
      </c>
      <c r="I11" s="11" t="n">
        <v>260</v>
      </c>
      <c r="J11" s="9" t="inlineStr">
        <is>
          <t>2 bars</t>
        </is>
      </c>
      <c r="K11" s="9" t="inlineStr">
        <is>
          <t>B2C Others</t>
        </is>
      </c>
      <c r="L11" s="8" t="inlineStr">
        <is>
          <t>In AUGUST Invoices (1).zip</t>
        </is>
      </c>
    </row>
    <row r="12" ht="21" customHeight="1">
      <c r="A12" s="12" t="inlineStr">
        <is>
          <t>Invoice-1160-GUD-2026-Capt Mohanlal</t>
        </is>
      </c>
      <c r="B12" s="13" t="inlineStr">
        <is>
          <t>05/08/2026</t>
        </is>
      </c>
      <c r="C12" s="12" t="inlineStr">
        <is>
          <t>Capt Mohanlal</t>
        </is>
      </c>
      <c r="D12" s="13" t="inlineStr">
        <is>
          <t>-</t>
        </is>
      </c>
      <c r="E12" s="15" t="n">
        <v>371.43</v>
      </c>
      <c r="F12" s="15" t="n">
        <v>9.289999999999999</v>
      </c>
      <c r="G12" s="15" t="n">
        <v>9.289999999999999</v>
      </c>
      <c r="H12" s="15" t="n">
        <v>18.58</v>
      </c>
      <c r="I12" s="15" t="n">
        <v>390</v>
      </c>
      <c r="J12" s="13" t="inlineStr">
        <is>
          <t>3 bars</t>
        </is>
      </c>
      <c r="K12" s="13" t="inlineStr">
        <is>
          <t>B2C Others</t>
        </is>
      </c>
      <c r="L12" s="12" t="inlineStr">
        <is>
          <t>In AUGUST Invoices (1).zip</t>
        </is>
      </c>
    </row>
    <row r="13" ht="21" customHeight="1">
      <c r="A13" s="8" t="inlineStr">
        <is>
          <t>Invoice-1161-GUD-2026-Mani Kuttan</t>
        </is>
      </c>
      <c r="B13" s="9" t="inlineStr">
        <is>
          <t>05/08/2026</t>
        </is>
      </c>
      <c r="C13" s="8" t="inlineStr">
        <is>
          <t>Mani Kuttan</t>
        </is>
      </c>
      <c r="D13" s="9" t="inlineStr">
        <is>
          <t>-</t>
        </is>
      </c>
      <c r="E13" s="11" t="n">
        <v>742.86</v>
      </c>
      <c r="F13" s="11" t="n">
        <v>18.57</v>
      </c>
      <c r="G13" s="11" t="n">
        <v>18.57</v>
      </c>
      <c r="H13" s="11" t="n">
        <v>37.14</v>
      </c>
      <c r="I13" s="11" t="n">
        <v>780</v>
      </c>
      <c r="J13" s="9" t="inlineStr">
        <is>
          <t>6 bars</t>
        </is>
      </c>
      <c r="K13" s="9" t="inlineStr">
        <is>
          <t>B2C Others</t>
        </is>
      </c>
      <c r="L13" s="8" t="inlineStr">
        <is>
          <t>In AUGUST Invoices (1).zip</t>
        </is>
      </c>
    </row>
    <row r="14" ht="21" customHeight="1">
      <c r="A14" s="12" t="inlineStr">
        <is>
          <t>Invoice-1162-GUD-2026-Dinil</t>
        </is>
      </c>
      <c r="B14" s="13" t="inlineStr">
        <is>
          <t>05/08/2026</t>
        </is>
      </c>
      <c r="C14" s="12" t="inlineStr">
        <is>
          <t>Dinil</t>
        </is>
      </c>
      <c r="D14" s="13" t="inlineStr">
        <is>
          <t>-</t>
        </is>
      </c>
      <c r="E14" s="15" t="n">
        <v>1238.1</v>
      </c>
      <c r="F14" s="15" t="n">
        <v>30.95</v>
      </c>
      <c r="G14" s="15" t="n">
        <v>30.95</v>
      </c>
      <c r="H14" s="15" t="n">
        <v>61.9</v>
      </c>
      <c r="I14" s="15" t="n">
        <v>1300</v>
      </c>
      <c r="J14" s="13" t="inlineStr">
        <is>
          <t>10 bars</t>
        </is>
      </c>
      <c r="K14" s="13" t="inlineStr">
        <is>
          <t>B2C Others</t>
        </is>
      </c>
      <c r="L14" s="12" t="inlineStr">
        <is>
          <t>In AUGUST Invoices (1).zip</t>
        </is>
      </c>
    </row>
    <row r="15" ht="21" customHeight="1">
      <c r="A15" s="8" t="inlineStr">
        <is>
          <t>Invoice-1163-GUD-2026-Zlan Creations Private Limited</t>
        </is>
      </c>
      <c r="B15" s="9" t="inlineStr">
        <is>
          <t>19/08/2026</t>
        </is>
      </c>
      <c r="C15" s="8" t="inlineStr">
        <is>
          <t>Zlan Creations Private Limited</t>
        </is>
      </c>
      <c r="D15" s="16" t="inlineStr">
        <is>
          <t>32AACCZ1710D1ZZ</t>
        </is>
      </c>
      <c r="E15" s="11" t="n">
        <v>833.33</v>
      </c>
      <c r="F15" s="11" t="n">
        <v>20.83</v>
      </c>
      <c r="G15" s="11" t="n">
        <v>20.83</v>
      </c>
      <c r="H15" s="11" t="n">
        <v>41.66</v>
      </c>
      <c r="I15" s="11" t="n">
        <v>875</v>
      </c>
      <c r="J15" s="9" t="inlineStr">
        <is>
          <t>7 bars</t>
        </is>
      </c>
      <c r="K15" s="9" t="inlineStr">
        <is>
          <t>B2B Regular</t>
        </is>
      </c>
      <c r="L15" s="8" t="inlineStr">
        <is>
          <t>In AUGUST Invoices (1).zip</t>
        </is>
      </c>
    </row>
    <row r="16" ht="21" customHeight="1">
      <c r="A16" s="12" t="inlineStr">
        <is>
          <t>1164-GUD-2025-TAJ MALABAR RESORT &amp; SPA</t>
        </is>
      </c>
      <c r="B16" s="13" t="inlineStr">
        <is>
          <t>17/08/2026</t>
        </is>
      </c>
      <c r="C16" s="12" t="inlineStr">
        <is>
          <t>TAJ MALABAR RESORT &amp; SPA</t>
        </is>
      </c>
      <c r="D16" s="13" t="inlineStr">
        <is>
          <t>-</t>
        </is>
      </c>
      <c r="E16" s="15" t="n">
        <v>111200</v>
      </c>
      <c r="F16" s="15" t="n">
        <v>7115.5</v>
      </c>
      <c r="G16" s="15" t="n">
        <v>7115.5</v>
      </c>
      <c r="H16" s="15" t="n">
        <v>14231</v>
      </c>
      <c r="I16" s="15" t="n">
        <v>125431</v>
      </c>
      <c r="J16" s="13" t="inlineStr">
        <is>
          <t>300 units (250 bars + 50 boxes)</t>
        </is>
      </c>
      <c r="K16" s="13" t="inlineStr">
        <is>
          <t>B2C Others</t>
        </is>
      </c>
      <c r="L16" s="12" t="inlineStr">
        <is>
          <t>In AUGUST Invoices (1).zip (Split 5% &amp; 18%)</t>
        </is>
      </c>
    </row>
    <row r="17" ht="21" customHeight="1">
      <c r="A17" s="8" t="inlineStr">
        <is>
          <t>Invoice-1165-GUD-2026-Sreekumar C</t>
        </is>
      </c>
      <c r="B17" s="9" t="inlineStr">
        <is>
          <t>21/08/2026</t>
        </is>
      </c>
      <c r="C17" s="8" t="inlineStr">
        <is>
          <t>Sreekumar C</t>
        </is>
      </c>
      <c r="D17" s="9" t="inlineStr">
        <is>
          <t>-</t>
        </is>
      </c>
      <c r="E17" s="11" t="n">
        <v>1389</v>
      </c>
      <c r="F17" s="11" t="n">
        <v>40.51</v>
      </c>
      <c r="G17" s="11" t="n">
        <v>40.51</v>
      </c>
      <c r="H17" s="11" t="n">
        <v>81.02</v>
      </c>
      <c r="I17" s="11" t="n">
        <v>1470.02</v>
      </c>
      <c r="J17" s="9" t="inlineStr">
        <is>
          <t>1 Hamper</t>
        </is>
      </c>
      <c r="K17" s="9" t="inlineStr">
        <is>
          <t>B2C Others</t>
        </is>
      </c>
      <c r="L17" s="8" t="inlineStr">
        <is>
          <t>In AUGUST Invoices (1).zip (Inc ₹89 courier)</t>
        </is>
      </c>
    </row>
    <row r="18" ht="21" customHeight="1">
      <c r="A18" s="12" t="inlineStr">
        <is>
          <t>Invoice-1166-GUD-2026-Anand Sagar</t>
        </is>
      </c>
      <c r="B18" s="13" t="inlineStr">
        <is>
          <t>21/08/2026</t>
        </is>
      </c>
      <c r="C18" s="12" t="inlineStr">
        <is>
          <t>Anand Sagar</t>
        </is>
      </c>
      <c r="D18" s="13" t="inlineStr">
        <is>
          <t>-</t>
        </is>
      </c>
      <c r="E18" s="15" t="n">
        <v>476.19</v>
      </c>
      <c r="F18" s="15" t="n">
        <v>11.9</v>
      </c>
      <c r="G18" s="15" t="n">
        <v>11.9</v>
      </c>
      <c r="H18" s="15" t="n">
        <v>23.8</v>
      </c>
      <c r="I18" s="15" t="n">
        <v>500</v>
      </c>
      <c r="J18" s="13" t="inlineStr">
        <is>
          <t>4 bars</t>
        </is>
      </c>
      <c r="K18" s="13" t="inlineStr">
        <is>
          <t>B2C Others</t>
        </is>
      </c>
      <c r="L18" s="12" t="inlineStr">
        <is>
          <t>In AUGUST Invoices (1).zip</t>
        </is>
      </c>
    </row>
    <row r="19" ht="21" customHeight="1">
      <c r="A19" s="24" t="inlineStr">
        <is>
          <t>Invoice-1167-GUD-2026-Arun Varghese</t>
        </is>
      </c>
      <c r="B19" s="25" t="inlineStr">
        <is>
          <t>24/08/2026</t>
        </is>
      </c>
      <c r="C19" s="26" t="inlineStr">
        <is>
          <t>Arun Varghese</t>
        </is>
      </c>
      <c r="D19" s="25" t="inlineStr">
        <is>
          <t>-</t>
        </is>
      </c>
      <c r="E19" s="27" t="n">
        <v>37429.32</v>
      </c>
      <c r="F19" s="27" t="n">
        <v>935.73</v>
      </c>
      <c r="G19" s="27" t="n">
        <v>935.73</v>
      </c>
      <c r="H19" s="27" t="n">
        <v>1871.46</v>
      </c>
      <c r="I19" s="27" t="n">
        <v>39300.78</v>
      </c>
      <c r="J19" s="25" t="inlineStr">
        <is>
          <t>262 bars</t>
        </is>
      </c>
      <c r="K19" s="25" t="inlineStr">
        <is>
          <t>B2C Others</t>
        </is>
      </c>
      <c r="L19" s="28" t="inlineStr">
        <is>
          <t>ATTENTION: Present in August invoices.zip, missed in (1).zip!</t>
        </is>
      </c>
    </row>
    <row r="20" ht="21" customHeight="1">
      <c r="A20" s="12" t="inlineStr">
        <is>
          <t>Invoice-1168-GUD-2026-Nihara Resort &amp; Spa</t>
        </is>
      </c>
      <c r="B20" s="13" t="inlineStr">
        <is>
          <t>24/08/2026</t>
        </is>
      </c>
      <c r="C20" s="12" t="inlineStr">
        <is>
          <t>Nihara Resort &amp; Spa</t>
        </is>
      </c>
      <c r="D20" s="29" t="inlineStr">
        <is>
          <t>32AAGCB0650E1ZC</t>
        </is>
      </c>
      <c r="E20" s="15" t="n">
        <v>7760</v>
      </c>
      <c r="F20" s="15" t="n">
        <v>194</v>
      </c>
      <c r="G20" s="15" t="n">
        <v>194</v>
      </c>
      <c r="H20" s="15" t="n">
        <v>388</v>
      </c>
      <c r="I20" s="15" t="n">
        <v>8148</v>
      </c>
      <c r="J20" s="13" t="inlineStr">
        <is>
          <t>80 bars</t>
        </is>
      </c>
      <c r="K20" s="13" t="inlineStr">
        <is>
          <t>B2B Regular</t>
        </is>
      </c>
      <c r="L20" s="12" t="inlineStr">
        <is>
          <t>In AUGUST Invoices (1).zip</t>
        </is>
      </c>
    </row>
    <row r="21" ht="21" customHeight="1">
      <c r="A21" s="8" t="inlineStr">
        <is>
          <t>Invoice-1169-GUD-2026-Divyanshi</t>
        </is>
      </c>
      <c r="B21" s="9" t="inlineStr">
        <is>
          <t>24/08/2026</t>
        </is>
      </c>
      <c r="C21" s="8" t="inlineStr">
        <is>
          <t>Divyanshi</t>
        </is>
      </c>
      <c r="D21" s="9" t="inlineStr">
        <is>
          <t>-</t>
        </is>
      </c>
      <c r="E21" s="11" t="n">
        <v>1998</v>
      </c>
      <c r="F21" s="11" t="n">
        <v>49.95</v>
      </c>
      <c r="G21" s="11" t="n">
        <v>49.95</v>
      </c>
      <c r="H21" s="11" t="n">
        <v>99.90000000000001</v>
      </c>
      <c r="I21" s="11" t="n">
        <v>2097.9</v>
      </c>
      <c r="J21" s="9" t="inlineStr">
        <is>
          <t>2 Hampers</t>
        </is>
      </c>
      <c r="K21" s="9" t="inlineStr">
        <is>
          <t>B2C Others</t>
        </is>
      </c>
      <c r="L21" s="8" t="inlineStr">
        <is>
          <t>In AUGUST Invoices (1).zip</t>
        </is>
      </c>
    </row>
    <row r="22" ht="21" customHeight="1">
      <c r="A22" s="12" t="inlineStr">
        <is>
          <t>Invoice-1170-GUD-2026-Ansal</t>
        </is>
      </c>
      <c r="B22" s="13" t="inlineStr">
        <is>
          <t>24/08/2026</t>
        </is>
      </c>
      <c r="C22" s="12" t="inlineStr">
        <is>
          <t>Ansal (RABAH International)</t>
        </is>
      </c>
      <c r="D22" s="13" t="inlineStr">
        <is>
          <t>-</t>
        </is>
      </c>
      <c r="E22" s="15" t="n">
        <v>1700</v>
      </c>
      <c r="F22" s="15" t="n">
        <v>42.5</v>
      </c>
      <c r="G22" s="15" t="n">
        <v>42.5</v>
      </c>
      <c r="H22" s="15" t="n">
        <v>85</v>
      </c>
      <c r="I22" s="15" t="n">
        <v>1785</v>
      </c>
      <c r="J22" s="13" t="inlineStr">
        <is>
          <t>2 Hampers</t>
        </is>
      </c>
      <c r="K22" s="13" t="inlineStr">
        <is>
          <t>B2C Others</t>
        </is>
      </c>
      <c r="L22" s="12" t="inlineStr">
        <is>
          <t>In AUGUST Invoices (1).zip</t>
        </is>
      </c>
    </row>
    <row r="23" ht="21" customHeight="1">
      <c r="A23" s="8" t="inlineStr">
        <is>
          <t>Invoice-1171-GUD-2026-Naveen</t>
        </is>
      </c>
      <c r="B23" s="9" t="inlineStr">
        <is>
          <t>29/08/2026</t>
        </is>
      </c>
      <c r="C23" s="8" t="inlineStr">
        <is>
          <t>Naveen Kumar</t>
        </is>
      </c>
      <c r="D23" s="9" t="inlineStr">
        <is>
          <t>-</t>
        </is>
      </c>
      <c r="E23" s="11" t="n">
        <v>60000</v>
      </c>
      <c r="F23" s="11" t="n">
        <v>1500</v>
      </c>
      <c r="G23" s="11" t="n">
        <v>1500</v>
      </c>
      <c r="H23" s="11" t="n">
        <v>3000</v>
      </c>
      <c r="I23" s="11" t="n">
        <v>63000</v>
      </c>
      <c r="J23" s="9" t="inlineStr">
        <is>
          <t>30 Hampers</t>
        </is>
      </c>
      <c r="K23" s="9" t="inlineStr">
        <is>
          <t>B2C Others</t>
        </is>
      </c>
      <c r="L23" s="8" t="inlineStr">
        <is>
          <t>In AUGUST Invoices (1).zip</t>
        </is>
      </c>
    </row>
    <row r="24" ht="21" customHeight="1">
      <c r="A24" s="24" t="inlineStr">
        <is>
          <t>Invoice-1152-GUD-2026-GVQ</t>
        </is>
      </c>
      <c r="B24" s="25" t="inlineStr">
        <is>
          <t>29/07/2026</t>
        </is>
      </c>
      <c r="C24" s="26" t="inlineStr">
        <is>
          <t>Sprout Rite Enterprises (GVQ Time Cafe)</t>
        </is>
      </c>
      <c r="D24" s="30" t="inlineStr">
        <is>
          <t>32AEHFS6650P1ZH</t>
        </is>
      </c>
      <c r="E24" s="27" t="n">
        <v>7428.57</v>
      </c>
      <c r="F24" s="27" t="n">
        <v>185.71</v>
      </c>
      <c r="G24" s="27" t="n">
        <v>185.71</v>
      </c>
      <c r="H24" s="27" t="n">
        <v>371.42</v>
      </c>
      <c r="I24" s="27" t="n">
        <v>7620</v>
      </c>
      <c r="J24" s="25" t="inlineStr">
        <is>
          <t>65 bars</t>
        </is>
      </c>
      <c r="K24" s="25" t="inlineStr">
        <is>
          <t>B2B Regular</t>
        </is>
      </c>
      <c r="L24" s="28" t="inlineStr">
        <is>
          <t>User Prompt Example (dated 29/07, downloaded 10/08)</t>
        </is>
      </c>
    </row>
    <row r="25" ht="25" customHeight="1">
      <c r="A25" s="17" t="inlineStr">
        <is>
          <t>Grand Total (All 20 Invoices)</t>
        </is>
      </c>
      <c r="B25" s="18" t="n"/>
      <c r="C25" s="18" t="n"/>
      <c r="D25" s="18" t="n"/>
      <c r="E25" s="19">
        <f>SUM(E5:E24)</f>
        <v/>
      </c>
      <c r="F25" s="19">
        <f>SUM(F5:F24)</f>
        <v/>
      </c>
      <c r="G25" s="19">
        <f>SUM(G5:G24)</f>
        <v/>
      </c>
      <c r="H25" s="19">
        <f>SUM(H5:H24)</f>
        <v/>
      </c>
      <c r="I25" s="19">
        <f>SUM(I5:I24)</f>
        <v/>
      </c>
      <c r="J25" s="18" t="n"/>
      <c r="K25" s="18" t="n"/>
      <c r="L25" s="1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1" workbookViewId="0">
      <selection activeCell="A1" sqref="A1"/>
    </sheetView>
  </sheetViews>
  <sheetFormatPr baseColWidth="8" defaultRowHeight="15" outlineLevelCol="0"/>
  <cols>
    <col width="44" customWidth="1" min="1" max="1"/>
    <col width="13" customWidth="1" min="2" max="2"/>
    <col width="30" customWidth="1" min="3" max="3"/>
    <col width="15" customWidth="1" min="4" max="4"/>
    <col width="16" customWidth="1" min="5" max="5"/>
    <col width="15" customWidth="1" min="6" max="6"/>
    <col width="12" customWidth="1" min="7" max="7"/>
    <col width="15" customWidth="1" min="8" max="8"/>
    <col width="17" customWidth="1" min="9" max="9"/>
    <col width="17" customWidth="1" min="10" max="10"/>
    <col width="16" customWidth="1" min="11" max="11"/>
    <col width="15" customWidth="1" min="12" max="12"/>
    <col width="50" customWidth="1" min="13" max="13"/>
  </cols>
  <sheetData>
    <row r="1" ht="24" customHeight="1">
      <c r="A1" s="1" t="inlineStr">
        <is>
          <t>GUDORIA FOOD INNOVATIONS PRIVATE LIMITED</t>
        </is>
      </c>
    </row>
    <row r="2" ht="18" customHeight="1">
      <c r="A2" s="2" t="inlineStr">
        <is>
          <t>August 2026 Itemized Chocolate Flavor &amp; SKU Sales Breakdown</t>
        </is>
      </c>
    </row>
    <row r="4" ht="28" customHeight="1">
      <c r="A4" s="7" t="inlineStr">
        <is>
          <t>Invoice No.</t>
        </is>
      </c>
      <c r="B4" s="7" t="inlineStr">
        <is>
          <t>Date</t>
        </is>
      </c>
      <c r="C4" s="7" t="inlineStr">
        <is>
          <t>Party</t>
        </is>
      </c>
      <c r="D4" s="7" t="inlineStr">
        <is>
          <t>Orange Sunset</t>
        </is>
      </c>
      <c r="E4" s="7" t="inlineStr">
        <is>
          <t>Indian Sea Salt</t>
        </is>
      </c>
      <c r="F4" s="7" t="inlineStr">
        <is>
          <t>Almond Noir</t>
        </is>
      </c>
      <c r="G4" s="7" t="inlineStr">
        <is>
          <t>Mocha</t>
        </is>
      </c>
      <c r="H4" s="7" t="inlineStr">
        <is>
          <t>Peanut Royale</t>
        </is>
      </c>
      <c r="I4" s="7" t="inlineStr">
        <is>
          <t>Malabar Jackfruit</t>
        </is>
      </c>
      <c r="J4" s="7" t="inlineStr">
        <is>
          <t>Sun-Kissed Lemon</t>
        </is>
      </c>
      <c r="K4" s="7" t="inlineStr">
        <is>
          <t>Total Bars Sold</t>
        </is>
      </c>
      <c r="L4" s="7" t="inlineStr">
        <is>
          <t>Hampers Sold</t>
        </is>
      </c>
      <c r="M4" s="7" t="inlineStr">
        <is>
          <t>Other Products / Hampers Details</t>
        </is>
      </c>
    </row>
    <row r="5" ht="21" customHeight="1">
      <c r="A5" s="8" t="inlineStr">
        <is>
          <t>Invoice-1153-GUD-2026-IntegratedDesig</t>
        </is>
      </c>
      <c r="B5" s="9" t="inlineStr">
        <is>
          <t>01/08/2026</t>
        </is>
      </c>
      <c r="C5" s="8" t="inlineStr">
        <is>
          <t>Moby</t>
        </is>
      </c>
      <c r="D5" s="9" t="n">
        <v>1</v>
      </c>
      <c r="E5" s="9" t="n">
        <v>1</v>
      </c>
      <c r="F5" s="9" t="n">
        <v>1</v>
      </c>
      <c r="G5" s="9" t="n">
        <v>1</v>
      </c>
      <c r="H5" s="9" t="n">
        <v>0</v>
      </c>
      <c r="I5" s="9" t="n">
        <v>1</v>
      </c>
      <c r="J5" s="9" t="n">
        <v>1</v>
      </c>
      <c r="K5" s="9" t="n">
        <v>6</v>
      </c>
      <c r="L5" s="9" t="n">
        <v>0</v>
      </c>
      <c r="M5" s="8" t="inlineStr">
        <is>
          <t>-</t>
        </is>
      </c>
    </row>
    <row r="6" ht="21" customHeight="1">
      <c r="A6" s="12" t="inlineStr">
        <is>
          <t>Invoice-1154-GUD-2026-Naveen</t>
        </is>
      </c>
      <c r="B6" s="13" t="inlineStr">
        <is>
          <t>01/08/2026</t>
        </is>
      </c>
      <c r="C6" s="12" t="inlineStr">
        <is>
          <t>Naveen</t>
        </is>
      </c>
      <c r="D6" s="13" t="n">
        <v>1</v>
      </c>
      <c r="E6" s="13" t="n">
        <v>1</v>
      </c>
      <c r="F6" s="13" t="n">
        <v>1</v>
      </c>
      <c r="G6" s="13" t="n">
        <v>1</v>
      </c>
      <c r="H6" s="13" t="n">
        <v>1</v>
      </c>
      <c r="I6" s="13" t="n">
        <v>1</v>
      </c>
      <c r="J6" s="13" t="n">
        <v>1</v>
      </c>
      <c r="K6" s="13" t="n">
        <v>7</v>
      </c>
      <c r="L6" s="13" t="n">
        <v>0</v>
      </c>
      <c r="M6" s="12" t="inlineStr">
        <is>
          <t>-</t>
        </is>
      </c>
    </row>
    <row r="7" ht="21" customHeight="1">
      <c r="A7" s="8" t="inlineStr">
        <is>
          <t>Invoice-1155-GUD-2026-JJDentalClinic</t>
        </is>
      </c>
      <c r="B7" s="9" t="inlineStr">
        <is>
          <t>31/07/2026</t>
        </is>
      </c>
      <c r="C7" s="8" t="inlineStr">
        <is>
          <t>Abin Abraham</t>
        </is>
      </c>
      <c r="D7" s="9" t="n">
        <v>1</v>
      </c>
      <c r="E7" s="9" t="n">
        <v>0</v>
      </c>
      <c r="F7" s="9" t="n">
        <v>1</v>
      </c>
      <c r="G7" s="9" t="n">
        <v>0</v>
      </c>
      <c r="H7" s="9" t="n">
        <v>1</v>
      </c>
      <c r="I7" s="9" t="n">
        <v>0</v>
      </c>
      <c r="J7" s="9" t="n">
        <v>0</v>
      </c>
      <c r="K7" s="9" t="n">
        <v>3</v>
      </c>
      <c r="L7" s="9" t="n">
        <v>0</v>
      </c>
      <c r="M7" s="8" t="inlineStr">
        <is>
          <t>-</t>
        </is>
      </c>
    </row>
    <row r="8" ht="21" customHeight="1">
      <c r="A8" s="12" t="inlineStr">
        <is>
          <t>Invoice-1156-GUD-2026-Royal Enfield Street</t>
        </is>
      </c>
      <c r="B8" s="13" t="inlineStr">
        <is>
          <t>08/08/2026</t>
        </is>
      </c>
      <c r="C8" s="12" t="inlineStr">
        <is>
          <t>Royal Enfield Street</t>
        </is>
      </c>
      <c r="D8" s="13" t="n">
        <v>6</v>
      </c>
      <c r="E8" s="13" t="n">
        <v>14</v>
      </c>
      <c r="F8" s="13" t="n">
        <v>6</v>
      </c>
      <c r="G8" s="13" t="n">
        <v>10</v>
      </c>
      <c r="H8" s="13" t="n">
        <v>2</v>
      </c>
      <c r="I8" s="13" t="n">
        <v>2</v>
      </c>
      <c r="J8" s="13" t="n">
        <v>3</v>
      </c>
      <c r="K8" s="13" t="n">
        <v>43</v>
      </c>
      <c r="L8" s="13" t="n">
        <v>0</v>
      </c>
      <c r="M8" s="12" t="inlineStr">
        <is>
          <t>-</t>
        </is>
      </c>
    </row>
    <row r="9" ht="21" customHeight="1">
      <c r="A9" s="8" t="inlineStr">
        <is>
          <t>Invoice-1157-GUD-2026-Dr faraz</t>
        </is>
      </c>
      <c r="B9" s="9" t="inlineStr">
        <is>
          <t>05/08/2026</t>
        </is>
      </c>
      <c r="C9" s="8" t="inlineStr">
        <is>
          <t>Dr faraz</t>
        </is>
      </c>
      <c r="D9" s="9" t="n">
        <v>0</v>
      </c>
      <c r="E9" s="9" t="n">
        <v>1</v>
      </c>
      <c r="F9" s="9" t="n">
        <v>1</v>
      </c>
      <c r="G9" s="9" t="n">
        <v>1</v>
      </c>
      <c r="H9" s="9" t="n">
        <v>1</v>
      </c>
      <c r="I9" s="9" t="n">
        <v>1</v>
      </c>
      <c r="J9" s="9" t="n">
        <v>1</v>
      </c>
      <c r="K9" s="9" t="n">
        <v>6</v>
      </c>
      <c r="L9" s="9" t="n">
        <v>0</v>
      </c>
      <c r="M9" s="8" t="inlineStr">
        <is>
          <t>-</t>
        </is>
      </c>
    </row>
    <row r="10" ht="21" customHeight="1">
      <c r="A10" s="12" t="inlineStr">
        <is>
          <t>Invoice-1158-GUD-2026-Praveen</t>
        </is>
      </c>
      <c r="B10" s="13" t="inlineStr">
        <is>
          <t>05/08/2026</t>
        </is>
      </c>
      <c r="C10" s="12" t="inlineStr">
        <is>
          <t>Praveen</t>
        </is>
      </c>
      <c r="D10" s="13" t="n">
        <v>0</v>
      </c>
      <c r="E10" s="13" t="n">
        <v>0</v>
      </c>
      <c r="F10" s="13" t="n">
        <v>1</v>
      </c>
      <c r="G10" s="13" t="n">
        <v>0</v>
      </c>
      <c r="H10" s="13" t="n">
        <v>1</v>
      </c>
      <c r="I10" s="13" t="n">
        <v>0</v>
      </c>
      <c r="J10" s="13" t="n">
        <v>0</v>
      </c>
      <c r="K10" s="13" t="n">
        <v>2</v>
      </c>
      <c r="L10" s="13" t="n">
        <v>0</v>
      </c>
      <c r="M10" s="12" t="inlineStr">
        <is>
          <t>-</t>
        </is>
      </c>
    </row>
    <row r="11" ht="21" customHeight="1">
      <c r="A11" s="8" t="inlineStr">
        <is>
          <t>Invoice-1159-GUD-2026-Kannan Michael</t>
        </is>
      </c>
      <c r="B11" s="9" t="inlineStr">
        <is>
          <t>05/08/2026</t>
        </is>
      </c>
      <c r="C11" s="8" t="inlineStr">
        <is>
          <t>Kannan Michael</t>
        </is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2</v>
      </c>
      <c r="I11" s="9" t="n">
        <v>0</v>
      </c>
      <c r="J11" s="9" t="n">
        <v>0</v>
      </c>
      <c r="K11" s="9" t="n">
        <v>2</v>
      </c>
      <c r="L11" s="9" t="n">
        <v>0</v>
      </c>
      <c r="M11" s="8" t="inlineStr">
        <is>
          <t>-</t>
        </is>
      </c>
    </row>
    <row r="12" ht="21" customHeight="1">
      <c r="A12" s="12" t="inlineStr">
        <is>
          <t>Invoice-1160-GUD-2026-Capt Mohanlal</t>
        </is>
      </c>
      <c r="B12" s="13" t="inlineStr">
        <is>
          <t>05/08/2026</t>
        </is>
      </c>
      <c r="C12" s="12" t="inlineStr">
        <is>
          <t>Capt Mohanlal</t>
        </is>
      </c>
      <c r="D12" s="13" t="n">
        <v>0</v>
      </c>
      <c r="E12" s="13" t="n">
        <v>1</v>
      </c>
      <c r="F12" s="13" t="n">
        <v>0</v>
      </c>
      <c r="G12" s="13" t="n">
        <v>1</v>
      </c>
      <c r="H12" s="13" t="n">
        <v>1</v>
      </c>
      <c r="I12" s="13" t="n">
        <v>0</v>
      </c>
      <c r="J12" s="13" t="n">
        <v>0</v>
      </c>
      <c r="K12" s="13" t="n">
        <v>3</v>
      </c>
      <c r="L12" s="13" t="n">
        <v>0</v>
      </c>
      <c r="M12" s="12" t="inlineStr">
        <is>
          <t>-</t>
        </is>
      </c>
    </row>
    <row r="13" ht="21" customHeight="1">
      <c r="A13" s="8" t="inlineStr">
        <is>
          <t>Invoice-1161-GUD-2026-Mani Kuttan</t>
        </is>
      </c>
      <c r="B13" s="9" t="inlineStr">
        <is>
          <t>05/08/2026</t>
        </is>
      </c>
      <c r="C13" s="8" t="inlineStr">
        <is>
          <t>Mani Kuttan</t>
        </is>
      </c>
      <c r="D13" s="9" t="n">
        <v>0</v>
      </c>
      <c r="E13" s="9" t="n">
        <v>2</v>
      </c>
      <c r="F13" s="9" t="n">
        <v>0</v>
      </c>
      <c r="G13" s="9" t="n">
        <v>4</v>
      </c>
      <c r="H13" s="9" t="n">
        <v>0</v>
      </c>
      <c r="I13" s="9" t="n">
        <v>0</v>
      </c>
      <c r="J13" s="9" t="n">
        <v>0</v>
      </c>
      <c r="K13" s="9" t="n">
        <v>6</v>
      </c>
      <c r="L13" s="9" t="n">
        <v>0</v>
      </c>
      <c r="M13" s="8" t="inlineStr">
        <is>
          <t>-</t>
        </is>
      </c>
    </row>
    <row r="14" ht="21" customHeight="1">
      <c r="A14" s="12" t="inlineStr">
        <is>
          <t>Invoice-1162-GUD-2026-Dinil</t>
        </is>
      </c>
      <c r="B14" s="13" t="inlineStr">
        <is>
          <t>05/08/2026</t>
        </is>
      </c>
      <c r="C14" s="12" t="inlineStr">
        <is>
          <t>Dinil</t>
        </is>
      </c>
      <c r="D14" s="13" t="n">
        <v>0</v>
      </c>
      <c r="E14" s="13" t="n">
        <v>0</v>
      </c>
      <c r="F14" s="13" t="n">
        <v>1</v>
      </c>
      <c r="G14" s="13" t="n">
        <v>2</v>
      </c>
      <c r="H14" s="13" t="n">
        <v>4</v>
      </c>
      <c r="I14" s="13" t="n">
        <v>1</v>
      </c>
      <c r="J14" s="13" t="n">
        <v>2</v>
      </c>
      <c r="K14" s="13" t="n">
        <v>10</v>
      </c>
      <c r="L14" s="13" t="n">
        <v>0</v>
      </c>
      <c r="M14" s="12" t="inlineStr">
        <is>
          <t>-</t>
        </is>
      </c>
    </row>
    <row r="15" ht="21" customHeight="1">
      <c r="A15" s="8" t="inlineStr">
        <is>
          <t>Invoice-1163-GUD-2026-Zlan Creations Private Limited</t>
        </is>
      </c>
      <c r="B15" s="9" t="inlineStr">
        <is>
          <t>19/08/2026</t>
        </is>
      </c>
      <c r="C15" s="8" t="inlineStr">
        <is>
          <t>Zlan Creations Private Limited</t>
        </is>
      </c>
      <c r="D15" s="9" t="n">
        <v>1</v>
      </c>
      <c r="E15" s="9" t="n">
        <v>1</v>
      </c>
      <c r="F15" s="9" t="n">
        <v>1</v>
      </c>
      <c r="G15" s="9" t="n">
        <v>1</v>
      </c>
      <c r="H15" s="9" t="n">
        <v>1</v>
      </c>
      <c r="I15" s="9" t="n">
        <v>1</v>
      </c>
      <c r="J15" s="9" t="n">
        <v>1</v>
      </c>
      <c r="K15" s="9" t="n">
        <v>7</v>
      </c>
      <c r="L15" s="9" t="n">
        <v>0</v>
      </c>
      <c r="M15" s="8" t="inlineStr">
        <is>
          <t>-</t>
        </is>
      </c>
    </row>
    <row r="16" ht="21" customHeight="1">
      <c r="A16" s="12" t="inlineStr">
        <is>
          <t>1164-GUD-2025-TAJ MALABAR RESORT &amp; SPA</t>
        </is>
      </c>
      <c r="B16" s="13" t="inlineStr">
        <is>
          <t>17/08/2026</t>
        </is>
      </c>
      <c r="C16" s="12" t="inlineStr">
        <is>
          <t>TAJ MALABAR RESORT &amp; SPA</t>
        </is>
      </c>
      <c r="D16" s="13" t="n">
        <v>50</v>
      </c>
      <c r="E16" s="13" t="n">
        <v>50</v>
      </c>
      <c r="F16" s="13" t="n">
        <v>50</v>
      </c>
      <c r="G16" s="13" t="n">
        <v>50</v>
      </c>
      <c r="H16" s="13" t="n">
        <v>0</v>
      </c>
      <c r="I16" s="13" t="n">
        <v>50</v>
      </c>
      <c r="J16" s="13" t="n">
        <v>0</v>
      </c>
      <c r="K16" s="13" t="n">
        <v>250</v>
      </c>
      <c r="L16" s="13" t="n">
        <v>0</v>
      </c>
      <c r="M16" s="12" t="inlineStr">
        <is>
          <t>50x 8-Piece Chocolate Boxes (64g), 150 Banana Chips Tins, Handicrafts &amp; Hamper Boxes</t>
        </is>
      </c>
    </row>
    <row r="17" ht="21" customHeight="1">
      <c r="A17" s="8" t="inlineStr">
        <is>
          <t>Invoice-1165-GUD-2026-Sreekumar C</t>
        </is>
      </c>
      <c r="B17" s="9" t="inlineStr">
        <is>
          <t>21/08/2026</t>
        </is>
      </c>
      <c r="C17" s="8" t="inlineStr">
        <is>
          <t>Sreekumar C</t>
        </is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1</v>
      </c>
      <c r="M17" s="8" t="inlineStr">
        <is>
          <t>1 Gift Hamper (₹1,300) + Courier (₹89)</t>
        </is>
      </c>
    </row>
    <row r="18" ht="21" customHeight="1">
      <c r="A18" s="12" t="inlineStr">
        <is>
          <t>Invoice-1166-GUD-2026-Anand Sagar</t>
        </is>
      </c>
      <c r="B18" s="13" t="inlineStr">
        <is>
          <t>21/08/2026</t>
        </is>
      </c>
      <c r="C18" s="12" t="inlineStr">
        <is>
          <t>Anand Sagar</t>
        </is>
      </c>
      <c r="D18" s="13" t="n">
        <v>1</v>
      </c>
      <c r="E18" s="13" t="n">
        <v>1</v>
      </c>
      <c r="F18" s="13" t="n">
        <v>1</v>
      </c>
      <c r="G18" s="13" t="n">
        <v>0</v>
      </c>
      <c r="H18" s="13" t="n">
        <v>0</v>
      </c>
      <c r="I18" s="13" t="n">
        <v>1</v>
      </c>
      <c r="J18" s="13" t="n">
        <v>0</v>
      </c>
      <c r="K18" s="13" t="n">
        <v>4</v>
      </c>
      <c r="L18" s="13" t="n">
        <v>0</v>
      </c>
      <c r="M18" s="12" t="inlineStr">
        <is>
          <t>-</t>
        </is>
      </c>
    </row>
    <row r="19" ht="21" customHeight="1">
      <c r="A19" s="26" t="inlineStr">
        <is>
          <t>Invoice-1167-GUD-2026-Arun Varghese</t>
        </is>
      </c>
      <c r="B19" s="25" t="inlineStr">
        <is>
          <t>24/08/2026</t>
        </is>
      </c>
      <c r="C19" s="26" t="inlineStr">
        <is>
          <t>Arun Varghese</t>
        </is>
      </c>
      <c r="D19" s="25" t="n">
        <v>57</v>
      </c>
      <c r="E19" s="25" t="n">
        <v>78</v>
      </c>
      <c r="F19" s="25" t="n">
        <v>27</v>
      </c>
      <c r="G19" s="25" t="n">
        <v>45</v>
      </c>
      <c r="H19" s="25" t="n">
        <v>4</v>
      </c>
      <c r="I19" s="25" t="n">
        <v>48</v>
      </c>
      <c r="J19" s="25" t="n">
        <v>3</v>
      </c>
      <c r="K19" s="25" t="n">
        <v>262</v>
      </c>
      <c r="L19" s="25" t="n">
        <v>0</v>
      </c>
      <c r="M19" s="26" t="inlineStr">
        <is>
          <t>From August invoices.zip</t>
        </is>
      </c>
    </row>
    <row r="20" ht="21" customHeight="1">
      <c r="A20" s="12" t="inlineStr">
        <is>
          <t>Invoice-1168-GUD-2026-Nihara Resort &amp; Spa</t>
        </is>
      </c>
      <c r="B20" s="13" t="inlineStr">
        <is>
          <t>24/08/2026</t>
        </is>
      </c>
      <c r="C20" s="12" t="inlineStr">
        <is>
          <t>Nihara Resort &amp; Spa</t>
        </is>
      </c>
      <c r="D20" s="13" t="n">
        <v>20</v>
      </c>
      <c r="E20" s="13" t="n">
        <v>20</v>
      </c>
      <c r="F20" s="13" t="n">
        <v>20</v>
      </c>
      <c r="G20" s="13" t="n">
        <v>0</v>
      </c>
      <c r="H20" s="13" t="n">
        <v>0</v>
      </c>
      <c r="I20" s="13" t="n">
        <v>20</v>
      </c>
      <c r="J20" s="13" t="n">
        <v>0</v>
      </c>
      <c r="K20" s="13" t="n">
        <v>80</v>
      </c>
      <c r="L20" s="13" t="n">
        <v>0</v>
      </c>
      <c r="M20" s="12" t="inlineStr">
        <is>
          <t>-</t>
        </is>
      </c>
    </row>
    <row r="21" ht="21" customHeight="1">
      <c r="A21" s="8" t="inlineStr">
        <is>
          <t>Invoice-1169-GUD-2026-Divyanshi</t>
        </is>
      </c>
      <c r="B21" s="9" t="inlineStr">
        <is>
          <t>24/08/2026</t>
        </is>
      </c>
      <c r="C21" s="8" t="inlineStr">
        <is>
          <t>Divyanshi</t>
        </is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2</v>
      </c>
      <c r="M21" s="8" t="inlineStr">
        <is>
          <t>2 Gift Hampers (₹999 each)</t>
        </is>
      </c>
    </row>
    <row r="22" ht="21" customHeight="1">
      <c r="A22" s="12" t="inlineStr">
        <is>
          <t>Invoice-1170-GUD-2026-Ansal</t>
        </is>
      </c>
      <c r="B22" s="13" t="inlineStr">
        <is>
          <t>24/08/2026</t>
        </is>
      </c>
      <c r="C22" s="12" t="inlineStr">
        <is>
          <t>Ansal</t>
        </is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2</v>
      </c>
      <c r="M22" s="12" t="inlineStr">
        <is>
          <t>2 Gift Hampers (₹850 each)</t>
        </is>
      </c>
    </row>
    <row r="23" ht="21" customHeight="1">
      <c r="A23" s="8" t="inlineStr">
        <is>
          <t>Invoice-1171-GUD-2026-Naveen</t>
        </is>
      </c>
      <c r="B23" s="9" t="inlineStr">
        <is>
          <t>29/08/2026</t>
        </is>
      </c>
      <c r="C23" s="8" t="inlineStr">
        <is>
          <t>Naveen Kumar</t>
        </is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30</v>
      </c>
      <c r="M23" s="8" t="inlineStr">
        <is>
          <t>30 Gift Hampers (₹2,000 each)</t>
        </is>
      </c>
    </row>
    <row r="24" ht="25" customHeight="1">
      <c r="A24" s="17" t="inlineStr">
        <is>
          <t>Total Units Sold</t>
        </is>
      </c>
      <c r="B24" s="18" t="n"/>
      <c r="C24" s="18" t="n"/>
      <c r="D24" s="20">
        <f>SUM(D5:D23)</f>
        <v/>
      </c>
      <c r="E24" s="20">
        <f>SUM(E5:E23)</f>
        <v/>
      </c>
      <c r="F24" s="20">
        <f>SUM(F5:F23)</f>
        <v/>
      </c>
      <c r="G24" s="20">
        <f>SUM(G5:G23)</f>
        <v/>
      </c>
      <c r="H24" s="20">
        <f>SUM(H5:H23)</f>
        <v/>
      </c>
      <c r="I24" s="20">
        <f>SUM(I5:I23)</f>
        <v/>
      </c>
      <c r="J24" s="20">
        <f>SUM(J5:J23)</f>
        <v/>
      </c>
      <c r="K24" s="20">
        <f>SUM(K5:K23)</f>
        <v/>
      </c>
      <c r="L24" s="20">
        <f>SUM(L5:L23)</f>
        <v/>
      </c>
      <c r="M24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2026-09-11T07:37:38Z</dcterms:created>
  <dcterms:modified xmlns:dcterms="http://purl.org/dc/terms/" xmlns:xsi="http://www.w3.org/2001/XMLSchema-instance" xsi:type="dcterms:W3CDTF">2026-09-11T07:37:38Z</dcterms:modified>
</cp:coreProperties>
</file>