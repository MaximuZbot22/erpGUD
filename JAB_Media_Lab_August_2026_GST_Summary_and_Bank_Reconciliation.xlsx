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gust 2026 GST Summary" sheetId="1" state="visible" r:id="rId1"/>
    <sheet xmlns:r="http://schemas.openxmlformats.org/officeDocument/2006/relationships" name="Bank Reconciliation &amp; TDS" sheetId="2" state="visible" r:id="rId2"/>
    <sheet xmlns:r="http://schemas.openxmlformats.org/officeDocument/2006/relationships" name="Bank Statement Ledg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4">
    <font>
      <name val="Calibri"/>
      <family val="2"/>
      <color theme="1"/>
      <sz val="11"/>
      <scheme val="minor"/>
    </font>
    <font>
      <name val="Segoe UI"/>
      <b val="1"/>
      <color rgb="000F766E"/>
      <sz val="15"/>
    </font>
    <font>
      <name val="Segoe UI"/>
      <i val="1"/>
      <color rgb="00475569"/>
      <sz val="10"/>
    </font>
    <font>
      <name val="Segoe UI"/>
      <b val="1"/>
      <color rgb="00475569"/>
      <sz val="8.5"/>
    </font>
    <font>
      <name val="Segoe UI"/>
      <b val="1"/>
      <color rgb="000F766E"/>
      <sz val="13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0F172A"/>
      <sz val="10"/>
    </font>
    <font>
      <name val="Segoe UI"/>
      <color rgb="0094A3B8"/>
      <sz val="10"/>
    </font>
    <font>
      <name val="Segoe UI"/>
      <i val="1"/>
      <color rgb="000369A1"/>
      <sz val="9.5"/>
    </font>
    <font>
      <name val="Segoe UI"/>
      <b val="1"/>
      <color rgb="000F766E"/>
      <sz val="10"/>
    </font>
    <font>
      <name val="Segoe UI"/>
      <b val="1"/>
      <color rgb="000F766E"/>
      <sz val="11"/>
    </font>
    <font>
      <name val="Segoe UI"/>
      <color rgb="00475569"/>
      <sz val="9.5"/>
    </font>
    <font>
      <name val="Segoe U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F0FDFA"/>
        <bgColor rgb="00F0FDFA"/>
      </patternFill>
    </fill>
    <fill>
      <patternFill patternType="solid">
        <fgColor rgb="000F766E"/>
        <bgColor rgb="000F766E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  <fill>
      <patternFill patternType="solid">
        <fgColor rgb="0014B8A6"/>
        <bgColor rgb="0014B8A6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475569"/>
      </top>
      <bottom style="double">
        <color rgb="00134E4A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7" fillId="7" borderId="2" pivotButton="0" quotePrefix="0" xfId="0"/>
    <xf numFmtId="164" fontId="7" fillId="7" borderId="2" applyAlignment="1" pivotButton="0" quotePrefix="0" xfId="0">
      <alignment horizontal="right" vertical="center"/>
    </xf>
    <xf numFmtId="0" fontId="11" fillId="0" borderId="0" pivotButton="0" quotePrefix="0" xfId="0"/>
    <xf numFmtId="0" fontId="12" fillId="0" borderId="0" pivotButton="0" quotePrefix="0" xfId="0"/>
    <xf numFmtId="0" fontId="13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164" fontId="6" fillId="9" borderId="1" applyAlignment="1" pivotButton="0" quotePrefix="0" xfId="0">
      <alignment horizontal="right" vertical="center"/>
    </xf>
    <xf numFmtId="0" fontId="7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13" customWidth="1" min="2" max="2"/>
    <col width="38" customWidth="1" min="3" max="3"/>
    <col width="20" customWidth="1" min="4" max="4"/>
    <col width="16" customWidth="1" min="5" max="5"/>
    <col width="14" customWidth="1" min="6" max="6"/>
    <col width="14" customWidth="1" min="7" max="7"/>
    <col width="15" customWidth="1" min="8" max="8"/>
    <col width="16" customWidth="1" min="9" max="9"/>
    <col width="45" customWidth="1" min="10" max="10"/>
    <col width="30" customWidth="1" min="11" max="11"/>
  </cols>
  <sheetData>
    <row r="1" ht="24" customHeight="1">
      <c r="A1" s="1" t="inlineStr">
        <is>
          <t>JAB MEDIA LAB</t>
        </is>
      </c>
    </row>
    <row r="2" ht="18" customHeight="1">
      <c r="A2" s="2" t="inlineStr">
        <is>
          <t>August 2026 GST Outward Supplies Summary  |  GSTIN: 32AAVFJ8263F1Z0  |  IEC: AAVFJ8263F</t>
        </is>
      </c>
    </row>
    <row r="4" ht="18" customHeight="1">
      <c r="B4" s="3" t="inlineStr">
        <is>
          <t>TOTAL INVOICES ISSUED</t>
        </is>
      </c>
      <c r="C4" s="4" t="n"/>
      <c r="D4" s="3" t="inlineStr">
        <is>
          <t>TOTAL TAXABLE VALUE</t>
        </is>
      </c>
      <c r="E4" s="4" t="n"/>
      <c r="F4" s="3" t="inlineStr">
        <is>
          <t>TOTAL CGST</t>
        </is>
      </c>
      <c r="G4" s="3" t="inlineStr">
        <is>
          <t>TOTAL SGST</t>
        </is>
      </c>
      <c r="H4" s="3" t="inlineStr">
        <is>
          <t>TOTAL GST CHARGED</t>
        </is>
      </c>
      <c r="I4" s="4" t="n"/>
      <c r="J4" s="3" t="inlineStr">
        <is>
          <t>TOTAL INVOICE VALUE</t>
        </is>
      </c>
      <c r="K4" s="4" t="n"/>
    </row>
    <row r="5" ht="24" customHeight="1">
      <c r="B5" s="5" t="n">
        <v>5</v>
      </c>
      <c r="C5" s="4" t="n"/>
      <c r="D5" s="6">
        <f>SUM(E8:E12)</f>
        <v/>
      </c>
      <c r="E5" s="4" t="n"/>
      <c r="F5" s="6">
        <f>SUM(F8:F12)</f>
        <v/>
      </c>
      <c r="G5" s="6">
        <f>SUM(G8:G12)</f>
        <v/>
      </c>
      <c r="H5" s="6">
        <f>F5+G5</f>
        <v/>
      </c>
      <c r="I5" s="4" t="n"/>
      <c r="J5" s="6">
        <f>SUM(I8:I12)</f>
        <v/>
      </c>
      <c r="K5" s="4" t="n"/>
    </row>
    <row r="6" ht="12" customHeight="1"/>
    <row r="7" ht="28" customHeight="1">
      <c r="A7" s="7" t="inlineStr">
        <is>
          <t>Invoice No.</t>
        </is>
      </c>
      <c r="B7" s="7" t="inlineStr">
        <is>
          <t>Date</t>
        </is>
      </c>
      <c r="C7" s="7" t="inlineStr">
        <is>
          <t>Party (Customer / Client)</t>
        </is>
      </c>
      <c r="D7" s="7" t="inlineStr">
        <is>
          <t>Party GSTIN</t>
        </is>
      </c>
      <c r="E7" s="7" t="inlineStr">
        <is>
          <t>Taxable Value</t>
        </is>
      </c>
      <c r="F7" s="7" t="inlineStr">
        <is>
          <t>CGST (9%)</t>
        </is>
      </c>
      <c r="G7" s="7" t="inlineStr">
        <is>
          <t>SGST (9%)</t>
        </is>
      </c>
      <c r="H7" s="7" t="inlineStr">
        <is>
          <t>Total GST</t>
        </is>
      </c>
      <c r="I7" s="7" t="inlineStr">
        <is>
          <t>Invoice Total</t>
        </is>
      </c>
      <c r="J7" s="7" t="inlineStr">
        <is>
          <t>Service Description / Scope of Work</t>
        </is>
      </c>
      <c r="K7" s="7" t="inlineStr">
        <is>
          <t>GST Classification</t>
        </is>
      </c>
    </row>
    <row r="8" ht="24" customHeight="1">
      <c r="A8" s="8" t="inlineStr">
        <is>
          <t>JAB/2026/WG/005</t>
        </is>
      </c>
      <c r="B8" s="9" t="inlineStr">
        <is>
          <t>01/08/2026</t>
        </is>
      </c>
      <c r="C8" s="10" t="inlineStr">
        <is>
          <t>Wellgenome Biotechnology Private Limited</t>
        </is>
      </c>
      <c r="D8" s="11" t="inlineStr">
        <is>
          <t>-</t>
        </is>
      </c>
      <c r="E8" s="12" t="n">
        <v>30000</v>
      </c>
      <c r="F8" s="12" t="n">
        <v>2700</v>
      </c>
      <c r="G8" s="12" t="n">
        <v>2700</v>
      </c>
      <c r="H8" s="12">
        <f>F8+G8</f>
        <v/>
      </c>
      <c r="I8" s="12" t="n">
        <v>35400</v>
      </c>
      <c r="J8" s="10" t="inlineStr">
        <is>
          <t>Social Media Management (8 Posts, 4 Reels for July 2026)</t>
        </is>
      </c>
      <c r="K8" s="9" t="inlineStr">
        <is>
          <t>B2C Others</t>
        </is>
      </c>
    </row>
    <row r="9" ht="24" customHeight="1">
      <c r="A9" s="13" t="inlineStr">
        <is>
          <t>JAB/2026/WS/006</t>
        </is>
      </c>
      <c r="B9" s="14" t="inlineStr">
        <is>
          <t>01/08/2026</t>
        </is>
      </c>
      <c r="C9" s="15" t="inlineStr">
        <is>
          <t>Wellness Solutions, Pvt, Ltd</t>
        </is>
      </c>
      <c r="D9" s="16" t="inlineStr">
        <is>
          <t>-</t>
        </is>
      </c>
      <c r="E9" s="17" t="n">
        <v>30000</v>
      </c>
      <c r="F9" s="17" t="n">
        <v>2700</v>
      </c>
      <c r="G9" s="17" t="n">
        <v>2700</v>
      </c>
      <c r="H9" s="17">
        <f>F9+G9</f>
        <v/>
      </c>
      <c r="I9" s="17" t="n">
        <v>35400</v>
      </c>
      <c r="J9" s="15" t="inlineStr">
        <is>
          <t>Social Media Retainer (8 Posts, 4 Reels for July 2026)</t>
        </is>
      </c>
      <c r="K9" s="14" t="inlineStr">
        <is>
          <t>B2C Others</t>
        </is>
      </c>
    </row>
    <row r="10" ht="24" customHeight="1">
      <c r="A10" s="18" t="inlineStr">
        <is>
          <t>JAB/2026/ALS EXP/03</t>
        </is>
      </c>
      <c r="B10" s="19" t="inlineStr">
        <is>
          <t>01/08/2026</t>
        </is>
      </c>
      <c r="C10" s="20" t="inlineStr">
        <is>
          <t>Al Sajid Mechanical Equipment LLC</t>
        </is>
      </c>
      <c r="D10" s="21" t="inlineStr">
        <is>
          <t>Foreign (UAE)</t>
        </is>
      </c>
      <c r="E10" s="22" t="n">
        <v>20000</v>
      </c>
      <c r="F10" s="22" t="n">
        <v>0</v>
      </c>
      <c r="G10" s="22" t="n">
        <v>0</v>
      </c>
      <c r="H10" s="22">
        <f>F10+G10</f>
        <v/>
      </c>
      <c r="I10" s="22" t="n">
        <v>20000</v>
      </c>
      <c r="J10" s="20" t="inlineStr">
        <is>
          <t>SEO for July 2026 (SEO Activities)</t>
        </is>
      </c>
      <c r="K10" s="19" t="inlineStr">
        <is>
          <t>Export of Services (Zero Rated)</t>
        </is>
      </c>
    </row>
    <row r="11" ht="24" customHeight="1">
      <c r="A11" s="18" t="inlineStr">
        <is>
          <t>JAB-2026-NIHR-010</t>
        </is>
      </c>
      <c r="B11" s="19" t="inlineStr">
        <is>
          <t>11/08/2026</t>
        </is>
      </c>
      <c r="C11" s="20" t="inlineStr">
        <is>
          <t>NIHARA RESORTS AND SPA</t>
        </is>
      </c>
      <c r="D11" s="23" t="inlineStr">
        <is>
          <t>32AAGCB0650E1ZC</t>
        </is>
      </c>
      <c r="E11" s="22" t="n">
        <v>165000</v>
      </c>
      <c r="F11" s="22" t="n">
        <v>0</v>
      </c>
      <c r="G11" s="22" t="n">
        <v>0</v>
      </c>
      <c r="H11" s="22">
        <f>F11+G11</f>
        <v/>
      </c>
      <c r="I11" s="22" t="n">
        <v>165000</v>
      </c>
      <c r="J11" s="20" t="inlineStr">
        <is>
          <t>Photography &amp; Videography Shoot (Pending 70% + 5 Videos + 42 Photos)</t>
        </is>
      </c>
      <c r="K11" s="19" t="inlineStr">
        <is>
          <t>B2B Regular (GST Unspecified)*</t>
        </is>
      </c>
    </row>
    <row r="12" ht="24" customHeight="1">
      <c r="A12" s="8" t="inlineStr">
        <is>
          <t>JAB-2026-NIHR-009</t>
        </is>
      </c>
      <c r="B12" s="9" t="inlineStr">
        <is>
          <t>20/08/2026</t>
        </is>
      </c>
      <c r="C12" s="10" t="inlineStr">
        <is>
          <t>NIHARA RESORTS AND SPA</t>
        </is>
      </c>
      <c r="D12" s="24" t="inlineStr">
        <is>
          <t>32AAGCB0650E1ZC</t>
        </is>
      </c>
      <c r="E12" s="12" t="n">
        <v>65000</v>
      </c>
      <c r="F12" s="12" t="n">
        <v>5850</v>
      </c>
      <c r="G12" s="12" t="n">
        <v>5850</v>
      </c>
      <c r="H12" s="12">
        <f>F12+G12</f>
        <v/>
      </c>
      <c r="I12" s="12" t="n">
        <v>76700</v>
      </c>
      <c r="J12" s="10" t="inlineStr">
        <is>
          <t>Social &amp; Digital Media Management (Retainership: 15 July - 15 August 2026)</t>
        </is>
      </c>
      <c r="K12" s="9" t="inlineStr">
        <is>
          <t>B2B Regular</t>
        </is>
      </c>
    </row>
    <row r="13" ht="25" customHeight="1">
      <c r="A13" s="25" t="inlineStr">
        <is>
          <t>Total</t>
        </is>
      </c>
      <c r="B13" s="26" t="inlineStr"/>
      <c r="C13" s="26" t="inlineStr"/>
      <c r="D13" s="26" t="inlineStr"/>
      <c r="E13" s="27">
        <f>SUM(E8:E12)</f>
        <v/>
      </c>
      <c r="F13" s="27">
        <f>SUM(F8:F12)</f>
        <v/>
      </c>
      <c r="G13" s="27">
        <f>SUM(G8:G12)</f>
        <v/>
      </c>
      <c r="H13" s="27">
        <f>SUM(H8:H12)</f>
        <v/>
      </c>
      <c r="I13" s="27">
        <f>SUM(I8:I12)</f>
        <v/>
      </c>
      <c r="J13" s="26" t="inlineStr"/>
      <c r="K13" s="26" t="inlineStr"/>
    </row>
    <row r="15">
      <c r="A15" s="28" t="inlineStr">
        <is>
          <t>Crucial GST Filing Observations &amp; Advisory:</t>
        </is>
      </c>
    </row>
    <row r="16">
      <c r="A16" s="29" t="inlineStr">
        <is>
          <t>1. B2B Registered Client: NIHARA RESORTS AND SPA has GSTIN 32AAGCB0650E1ZC. All B2B invoices must be uploaded under Table 4A (B2B Regular) of GSTR-1.</t>
        </is>
      </c>
    </row>
    <row r="17">
      <c r="A17" s="29" t="inlineStr">
        <is>
          <t>2. Export of Services (JAB/2026/ALS EXP/03): Client is based in Abu Dhabi, UAE. Zero-rated supply under GST with LUT (Letter of Undertaking) under Table 6A of GSTR-1. JAB Media Lab's IEC is AAVFJ8263F.</t>
        </is>
      </c>
    </row>
    <row r="18">
      <c r="A18" s="29" t="inlineStr">
        <is>
          <t>3. ATTENTION ON INVOICE JAB-2026-NIHR-010 (₹1,65,000): This invoice does NOT list CGST/SGST on the invoice face.</t>
        </is>
      </c>
    </row>
    <row r="19">
      <c r="A19" s="29" t="inlineStr">
        <is>
          <t xml:space="preserve">   - Scenario A (If tax was omitted): 18% GST on ₹1,65,000 is ₹29,700 (CGST ₹14,850 + SGST ₹14,850). Total billable is ₹1,94,700.</t>
        </is>
      </c>
    </row>
    <row r="20">
      <c r="A20" s="29" t="inlineStr">
        <is>
          <t xml:space="preserve">   - Scenario B (If ₹1,65,000 is tax-inclusive): Base Taxable = ₹1,39,830.51, CGST (9%) = ₹12,584.75, SGST (9%) = ₹12,584.75. Total = ₹1,65,000.</t>
        </is>
      </c>
    </row>
    <row r="21">
      <c r="A21" s="29" t="inlineStr">
        <is>
          <t xml:space="preserve">   - Action: Check with partner/client whether GST is extra or inclusive before final submission of GSTR-1.</t>
        </is>
      </c>
    </row>
    <row r="22">
      <c r="A22" s="29" t="inlineStr">
        <is>
          <t>4. B2C Clients: Wellgenome Biotechnology &amp; Wellness Solutions are recorded without GSTIN (B2C Others Table 7 of GSTR-1).</t>
        </is>
      </c>
    </row>
  </sheetData>
  <mergeCells count="8">
    <mergeCell ref="J4:K4"/>
    <mergeCell ref="J5:K5"/>
    <mergeCell ref="B5:C5"/>
    <mergeCell ref="D5:E5"/>
    <mergeCell ref="H5:I5"/>
    <mergeCell ref="D4:E4"/>
    <mergeCell ref="H4:I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14" customWidth="1" min="2" max="2"/>
    <col width="38" customWidth="1" min="3" max="3"/>
    <col width="16" customWidth="1" min="4" max="4"/>
    <col width="16" customWidth="1" min="5" max="5"/>
    <col width="18" customWidth="1" min="6" max="6"/>
    <col width="16" customWidth="1" min="7" max="7"/>
    <col width="18" customWidth="1" min="8" max="8"/>
    <col width="18" customWidth="1" min="9" max="9"/>
    <col width="55" customWidth="1" min="10" max="10"/>
  </cols>
  <sheetData>
    <row r="1" ht="24" customHeight="1">
      <c r="A1" s="1" t="inlineStr">
        <is>
          <t>JAB MEDIA LAB</t>
        </is>
      </c>
    </row>
    <row r="2" ht="18" customHeight="1">
      <c r="A2" s="2" t="inlineStr">
        <is>
          <t>August 2026 Invoice Collection &amp; Bank Reconciliation  |  HDFC A/C No: 50200113742475</t>
        </is>
      </c>
    </row>
    <row r="4" ht="28" customHeight="1">
      <c r="A4" s="30" t="inlineStr">
        <is>
          <t>Invoice No.</t>
        </is>
      </c>
      <c r="B4" s="30" t="inlineStr">
        <is>
          <t>Invoice Date</t>
        </is>
      </c>
      <c r="C4" s="30" t="inlineStr">
        <is>
          <t>Client / Party</t>
        </is>
      </c>
      <c r="D4" s="30" t="inlineStr">
        <is>
          <t>Invoice Amount</t>
        </is>
      </c>
      <c r="E4" s="30" t="inlineStr">
        <is>
          <t>Bank Receipt Date</t>
        </is>
      </c>
      <c r="F4" s="30" t="inlineStr">
        <is>
          <t>Bank Received Amount</t>
        </is>
      </c>
      <c r="G4" s="30" t="inlineStr">
        <is>
          <t>TDS Deducted (2%)</t>
        </is>
      </c>
      <c r="H4" s="30" t="inlineStr">
        <is>
          <t>Variance / Balance Due</t>
        </is>
      </c>
      <c r="I4" s="30" t="inlineStr">
        <is>
          <t>Collection Status</t>
        </is>
      </c>
      <c r="J4" s="30" t="inlineStr">
        <is>
          <t>Reconciliation Notes &amp; Verification</t>
        </is>
      </c>
    </row>
    <row r="5" ht="24" customHeight="1">
      <c r="A5" s="31" t="inlineStr">
        <is>
          <t>JAB/2026/WG/005</t>
        </is>
      </c>
      <c r="B5" s="32" t="inlineStr">
        <is>
          <t>01/08/2026</t>
        </is>
      </c>
      <c r="C5" s="33" t="inlineStr">
        <is>
          <t>Wellgenome Biotechnology Private Limited</t>
        </is>
      </c>
      <c r="D5" s="34" t="n">
        <v>35400</v>
      </c>
      <c r="E5" s="32" t="inlineStr">
        <is>
          <t>27/08/2026</t>
        </is>
      </c>
      <c r="F5" s="34" t="n">
        <v>34800</v>
      </c>
      <c r="G5" s="34" t="n">
        <v>600</v>
      </c>
      <c r="H5" s="34">
        <f>D5-(F5+G5)</f>
        <v/>
      </c>
      <c r="I5" s="32" t="inlineStr">
        <is>
          <t>Fully Settled</t>
        </is>
      </c>
      <c r="J5" s="33" t="inlineStr">
        <is>
          <t>Exact match: Received ₹34,800 net of 2% TDS (₹600) on base ₹30,000</t>
        </is>
      </c>
    </row>
    <row r="6" ht="24" customHeight="1">
      <c r="A6" s="18" t="inlineStr">
        <is>
          <t>JAB/2026/WS/006</t>
        </is>
      </c>
      <c r="B6" s="19" t="inlineStr">
        <is>
          <t>01/08/2026</t>
        </is>
      </c>
      <c r="C6" s="20" t="inlineStr">
        <is>
          <t>Wellness Solutions, Pvt, Ltd</t>
        </is>
      </c>
      <c r="D6" s="22" t="n">
        <v>35400</v>
      </c>
      <c r="E6" s="19" t="inlineStr">
        <is>
          <t>Pending</t>
        </is>
      </c>
      <c r="F6" s="22" t="n">
        <v>0</v>
      </c>
      <c r="G6" s="22" t="n">
        <v>0</v>
      </c>
      <c r="H6" s="22">
        <f>D6-(F6+G6)</f>
        <v/>
      </c>
      <c r="I6" s="19" t="inlineStr">
        <is>
          <t>Payment Pending</t>
        </is>
      </c>
      <c r="J6" s="20" t="inlineStr">
        <is>
          <t>Outstanding receivable as of 31/08/2026 (No credit found in Aug statement)</t>
        </is>
      </c>
    </row>
    <row r="7" ht="24" customHeight="1">
      <c r="A7" s="8" t="inlineStr">
        <is>
          <t>JAB/2026/ALS EXP/03</t>
        </is>
      </c>
      <c r="B7" s="9" t="inlineStr">
        <is>
          <t>01/08/2026</t>
        </is>
      </c>
      <c r="C7" s="10" t="inlineStr">
        <is>
          <t>Al Sajid Mechanical Equipment LLC</t>
        </is>
      </c>
      <c r="D7" s="12" t="n">
        <v>20000</v>
      </c>
      <c r="E7" s="9" t="inlineStr">
        <is>
          <t>12/08/2026</t>
        </is>
      </c>
      <c r="F7" s="12" t="n">
        <v>40000</v>
      </c>
      <c r="G7" s="12" t="n">
        <v>0</v>
      </c>
      <c r="H7" s="12">
        <f>D7-(F7+G7)</f>
        <v/>
      </c>
      <c r="I7" s="9" t="inlineStr">
        <is>
          <t>Overpaid / Advance</t>
        </is>
      </c>
      <c r="J7" s="10" t="inlineStr">
        <is>
          <t>Received ₹40,000 via NEFT (Payment covers 2 months / advance SEO)</t>
        </is>
      </c>
    </row>
    <row r="8" ht="24" customHeight="1">
      <c r="A8" s="18" t="inlineStr">
        <is>
          <t>JAB-2026-NIHR-010</t>
        </is>
      </c>
      <c r="B8" s="19" t="inlineStr">
        <is>
          <t>11/08/2026</t>
        </is>
      </c>
      <c r="C8" s="20" t="inlineStr">
        <is>
          <t>NIHARA RESORTS AND SPA</t>
        </is>
      </c>
      <c r="D8" s="22" t="n">
        <v>165000</v>
      </c>
      <c r="E8" s="19" t="inlineStr">
        <is>
          <t>Pending</t>
        </is>
      </c>
      <c r="F8" s="22" t="n">
        <v>0</v>
      </c>
      <c r="G8" s="22" t="n">
        <v>0</v>
      </c>
      <c r="H8" s="22">
        <f>D8-(F8+G8)</f>
        <v/>
      </c>
      <c r="I8" s="19" t="inlineStr">
        <is>
          <t>Payment Pending</t>
        </is>
      </c>
      <c r="J8" s="20" t="inlineStr">
        <is>
          <t>Outstanding balance for Photography &amp; Shoot (No credit found in Aug statement)</t>
        </is>
      </c>
    </row>
    <row r="9" ht="24" customHeight="1">
      <c r="A9" s="31" t="inlineStr">
        <is>
          <t>JAB-2026-NIHR-009</t>
        </is>
      </c>
      <c r="B9" s="32" t="inlineStr">
        <is>
          <t>20/08/2026</t>
        </is>
      </c>
      <c r="C9" s="33" t="inlineStr">
        <is>
          <t>NIHARA RESORTS AND SPA</t>
        </is>
      </c>
      <c r="D9" s="34" t="n">
        <v>76700</v>
      </c>
      <c r="E9" s="32" t="inlineStr">
        <is>
          <t>24/08/2026</t>
        </is>
      </c>
      <c r="F9" s="34" t="n">
        <v>75400</v>
      </c>
      <c r="G9" s="34" t="n">
        <v>1300</v>
      </c>
      <c r="H9" s="34">
        <f>D9-(F9+G9)</f>
        <v/>
      </c>
      <c r="I9" s="32" t="inlineStr">
        <is>
          <t>Fully Settled</t>
        </is>
      </c>
      <c r="J9" s="33" t="inlineStr">
        <is>
          <t>Exact match: Received ₹75,400 net of 2% TDS (₹1,300) on base ₹65,000</t>
        </is>
      </c>
    </row>
    <row r="10" ht="25" customHeight="1">
      <c r="A10" s="25" t="inlineStr">
        <is>
          <t>Total</t>
        </is>
      </c>
      <c r="B10" s="26" t="n"/>
      <c r="C10" s="26" t="n"/>
      <c r="D10" s="27">
        <f>SUM(D5:D9)</f>
        <v/>
      </c>
      <c r="E10" s="26" t="n"/>
      <c r="F10" s="27">
        <f>SUM(F5:F9)</f>
        <v/>
      </c>
      <c r="G10" s="27">
        <f>SUM(G5:G9)</f>
        <v/>
      </c>
      <c r="H10" s="27">
        <f>SUM(H5:H9)</f>
        <v/>
      </c>
      <c r="I10" s="26" t="n"/>
      <c r="J10" s="26" t="n"/>
    </row>
    <row r="12">
      <c r="A12" s="28" t="inlineStr">
        <is>
          <t>August 2026 Bank Account Cash Flow Summary:</t>
        </is>
      </c>
    </row>
    <row r="13">
      <c r="A13" s="35" t="inlineStr">
        <is>
          <t>Opening Balance (01/08/2026):</t>
        </is>
      </c>
      <c r="D13" s="36" t="inlineStr">
        <is>
          <t>₹2,57,085.72</t>
        </is>
      </c>
    </row>
    <row r="14">
      <c r="A14" s="35" t="inlineStr">
        <is>
          <t>Total Client Receipts (Deposits):</t>
        </is>
      </c>
      <c r="D14" s="36" t="inlineStr">
        <is>
          <t>₹1,50,200.00</t>
        </is>
      </c>
    </row>
    <row r="15">
      <c r="A15" s="35" t="inlineStr">
        <is>
          <t>Total Operating Expenses &amp; Salaries (Debits):</t>
        </is>
      </c>
      <c r="D15" s="36" t="inlineStr">
        <is>
          <t>₹2,72,529.82</t>
        </is>
      </c>
    </row>
    <row r="16">
      <c r="A16" s="35" t="inlineStr">
        <is>
          <t>Closing Balance (31/08/2026):</t>
        </is>
      </c>
      <c r="D16" s="36" t="inlineStr">
        <is>
          <t>₹1,39,953.90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70" customWidth="1" min="2" max="2"/>
    <col width="20" customWidth="1" min="3" max="3"/>
    <col width="25" customWidth="1" min="4" max="4"/>
    <col width="18" customWidth="1" min="5" max="5"/>
    <col width="18" customWidth="1" min="6" max="6"/>
    <col width="18" customWidth="1" min="7" max="7"/>
  </cols>
  <sheetData>
    <row r="1" ht="24" customHeight="1">
      <c r="A1" s="1" t="inlineStr">
        <is>
          <t>JAB MEDIA LAB</t>
        </is>
      </c>
    </row>
    <row r="2" ht="18" customHeight="1">
      <c r="A2" s="2" t="inlineStr">
        <is>
          <t>Complete HDFC Bank Statement Ledger  |  Account No: 50200113742475  |  Period: August 2026</t>
        </is>
      </c>
    </row>
    <row r="4" ht="28" customHeight="1">
      <c r="A4" s="7" t="inlineStr">
        <is>
          <t>Date</t>
        </is>
      </c>
      <c r="B4" s="7" t="inlineStr">
        <is>
          <t>Transaction Narration / Description</t>
        </is>
      </c>
      <c r="C4" s="7" t="inlineStr">
        <is>
          <t>Chq / Ref No.</t>
        </is>
      </c>
      <c r="D4" s="7" t="inlineStr">
        <is>
          <t>Category</t>
        </is>
      </c>
      <c r="E4" s="7" t="inlineStr">
        <is>
          <t>Withdrawal (DR)</t>
        </is>
      </c>
      <c r="F4" s="7" t="inlineStr">
        <is>
          <t>Deposit (CR)</t>
        </is>
      </c>
      <c r="G4" s="7" t="inlineStr">
        <is>
          <t>Closing Balance</t>
        </is>
      </c>
    </row>
    <row r="5" ht="21" customHeight="1">
      <c r="A5" s="9" t="inlineStr">
        <is>
          <t>05/08/26</t>
        </is>
      </c>
      <c r="B5" s="10" t="inlineStr">
        <is>
          <t>NEFT DR-UBIN0928992-DRISYA SASIKUMAR-NETBANK, MUM-HDFCH01174134568-JULY SALARY 26</t>
        </is>
      </c>
      <c r="C5" s="9" t="inlineStr">
        <is>
          <t>HDFCH01174134568</t>
        </is>
      </c>
      <c r="D5" s="10" t="inlineStr">
        <is>
          <t>Salary</t>
        </is>
      </c>
      <c r="E5" s="12" t="n">
        <v>25000</v>
      </c>
      <c r="F5" s="37" t="n"/>
      <c r="G5" s="12" t="n">
        <v>232085.72</v>
      </c>
    </row>
    <row r="6" ht="21" customHeight="1">
      <c r="A6" s="14" t="inlineStr">
        <is>
          <t>05/08/26</t>
        </is>
      </c>
      <c r="B6" s="15" t="inlineStr">
        <is>
          <t>NEFT DR-IDFB0080511-ANN MARY THOMAS-NETBANK, MUM-HDFCH01174134669-JULY SALARY 26</t>
        </is>
      </c>
      <c r="C6" s="14" t="inlineStr">
        <is>
          <t>HDFCH01174134669</t>
        </is>
      </c>
      <c r="D6" s="15" t="inlineStr">
        <is>
          <t>Salary</t>
        </is>
      </c>
      <c r="E6" s="17" t="n">
        <v>20000</v>
      </c>
      <c r="F6" s="38" t="n"/>
      <c r="G6" s="17" t="n">
        <v>212085.72</v>
      </c>
    </row>
    <row r="7" ht="21" customHeight="1">
      <c r="A7" s="9" t="inlineStr">
        <is>
          <t>05/08/26</t>
        </is>
      </c>
      <c r="B7" s="10" t="inlineStr">
        <is>
          <t>NEFT DR-FDRL0007777-ALBIN EM-NETBANK, MUM-HDFCH01174133014-JULY SAL ADJSTD</t>
        </is>
      </c>
      <c r="C7" s="9" t="inlineStr">
        <is>
          <t>HDFCH01174133014</t>
        </is>
      </c>
      <c r="D7" s="10" t="inlineStr">
        <is>
          <t>Salary</t>
        </is>
      </c>
      <c r="E7" s="12" t="n">
        <v>16153</v>
      </c>
      <c r="F7" s="37" t="n"/>
      <c r="G7" s="12" t="n">
        <v>195932.72</v>
      </c>
    </row>
    <row r="8" ht="21" customHeight="1">
      <c r="A8" s="14" t="inlineStr">
        <is>
          <t>05/08/26</t>
        </is>
      </c>
      <c r="B8" s="15" t="inlineStr">
        <is>
          <t>NEFT DR-IOBA0001416-GOKUL  G-NETBANK, MUM-HDFCH01174130102-JULY SALARY 26</t>
        </is>
      </c>
      <c r="C8" s="14" t="inlineStr">
        <is>
          <t>HDFCH01174130102</t>
        </is>
      </c>
      <c r="D8" s="15" t="inlineStr">
        <is>
          <t>Salary</t>
        </is>
      </c>
      <c r="E8" s="17" t="n">
        <v>45000</v>
      </c>
      <c r="F8" s="38" t="n"/>
      <c r="G8" s="17" t="n">
        <v>150932.72</v>
      </c>
    </row>
    <row r="9" ht="21" customHeight="1">
      <c r="A9" s="9" t="inlineStr">
        <is>
          <t>05/08/26</t>
        </is>
      </c>
      <c r="B9" s="10" t="inlineStr">
        <is>
          <t>NEFT DR-ICIC0000152-SANKALP SUNIL-NETBANK, MUM-HDFCH01174135028-JULY SALARY 26</t>
        </is>
      </c>
      <c r="C9" s="9" t="inlineStr">
        <is>
          <t>HDFCH01174135028</t>
        </is>
      </c>
      <c r="D9" s="10" t="inlineStr">
        <is>
          <t>Salary</t>
        </is>
      </c>
      <c r="E9" s="12" t="n">
        <v>50000</v>
      </c>
      <c r="F9" s="37" t="n"/>
      <c r="G9" s="12" t="n">
        <v>100932.72</v>
      </c>
    </row>
    <row r="10" ht="21" customHeight="1">
      <c r="A10" s="14" t="inlineStr">
        <is>
          <t>05/08/26</t>
        </is>
      </c>
      <c r="B10" s="15" t="inlineStr">
        <is>
          <t>NEFT DR-FDRL0007777-ARJUN KRISHNA A-NETBANK, MUM-HDFCH01174130193-SEO CONS NIH ALSAJ</t>
        </is>
      </c>
      <c r="C10" s="14" t="inlineStr">
        <is>
          <t>HDFCH01174130193</t>
        </is>
      </c>
      <c r="D10" s="15" t="inlineStr">
        <is>
          <t>Professional Fee (SEO)</t>
        </is>
      </c>
      <c r="E10" s="17" t="n">
        <v>10000</v>
      </c>
      <c r="F10" s="38" t="n"/>
      <c r="G10" s="17" t="n">
        <v>90932.72</v>
      </c>
    </row>
    <row r="11" ht="21" customHeight="1">
      <c r="A11" s="9" t="inlineStr">
        <is>
          <t>05/08/26</t>
        </is>
      </c>
      <c r="B11" s="10" t="inlineStr">
        <is>
          <t>59108593951251-TPT-RENT JULY 26-P I RADHAKRISHNAN NAIR</t>
        </is>
      </c>
      <c r="C11" s="9" t="inlineStr">
        <is>
          <t>0000000281905419</t>
        </is>
      </c>
      <c r="D11" s="10" t="inlineStr">
        <is>
          <t>Office Rent</t>
        </is>
      </c>
      <c r="E11" s="12" t="n">
        <v>14160</v>
      </c>
      <c r="F11" s="37" t="n"/>
      <c r="G11" s="12" t="n">
        <v>76772.72</v>
      </c>
    </row>
    <row r="12" ht="21" customHeight="1">
      <c r="A12" s="32" t="inlineStr">
        <is>
          <t>12/08/26</t>
        </is>
      </c>
      <c r="B12" s="33" t="inlineStr">
        <is>
          <t>NEFT CR-FDRL0009994-AL SAJID MECHANICAL EQUIPMENT-JAB MEDIA LAB-TUTR262240199763</t>
        </is>
      </c>
      <c r="C12" s="32" t="inlineStr">
        <is>
          <t>TUTR262240199763</t>
        </is>
      </c>
      <c r="D12" s="33" t="inlineStr">
        <is>
          <t>Client Inflow (Al Sajid)</t>
        </is>
      </c>
      <c r="E12" s="39" t="n"/>
      <c r="F12" s="34" t="n">
        <v>40000</v>
      </c>
      <c r="G12" s="34" t="n">
        <v>116772.72</v>
      </c>
    </row>
    <row r="13" ht="21" customHeight="1">
      <c r="A13" s="9" t="inlineStr">
        <is>
          <t>14/08/26</t>
        </is>
      </c>
      <c r="B13" s="10" t="inlineStr">
        <is>
          <t>05201000155550-TPT-FURNITURE JAB ADV-HIMA BINDU BEERAKA</t>
        </is>
      </c>
      <c r="C13" s="9" t="inlineStr">
        <is>
          <t>0000000136267736</t>
        </is>
      </c>
      <c r="D13" s="10" t="inlineStr">
        <is>
          <t>Office Setup / Furniture</t>
        </is>
      </c>
      <c r="E13" s="12" t="n">
        <v>5000</v>
      </c>
      <c r="F13" s="37" t="n"/>
      <c r="G13" s="12" t="n">
        <v>111772.72</v>
      </c>
    </row>
    <row r="14" ht="21" customHeight="1">
      <c r="A14" s="14" t="inlineStr">
        <is>
          <t>14/08/26</t>
        </is>
      </c>
      <c r="B14" s="15" t="inlineStr">
        <is>
          <t>05201000155550-TPT-CUPS-HIMA BINDU BEERAKA</t>
        </is>
      </c>
      <c r="C14" s="14" t="inlineStr">
        <is>
          <t>0000000143066789</t>
        </is>
      </c>
      <c r="D14" s="15" t="inlineStr">
        <is>
          <t>Office Supplies</t>
        </is>
      </c>
      <c r="E14" s="17" t="n">
        <v>472</v>
      </c>
      <c r="F14" s="38" t="n"/>
      <c r="G14" s="17" t="n">
        <v>111300.72</v>
      </c>
    </row>
    <row r="15" ht="21" customHeight="1">
      <c r="A15" s="9" t="inlineStr">
        <is>
          <t>14/08/26</t>
        </is>
      </c>
      <c r="B15" s="10" t="inlineStr">
        <is>
          <t>05201000155550-TPT-DIY DECOR JAB-HIMA BINDU BEERAKA</t>
        </is>
      </c>
      <c r="C15" s="9" t="inlineStr">
        <is>
          <t>0000000159984096</t>
        </is>
      </c>
      <c r="D15" s="10" t="inlineStr">
        <is>
          <t>Office Setup / Decor</t>
        </is>
      </c>
      <c r="E15" s="12" t="n">
        <v>911</v>
      </c>
      <c r="F15" s="37" t="n"/>
      <c r="G15" s="12" t="n">
        <v>110389.72</v>
      </c>
    </row>
    <row r="16" ht="21" customHeight="1">
      <c r="A16" s="14" t="inlineStr">
        <is>
          <t>16/08/26</t>
        </is>
      </c>
      <c r="B16" s="15" t="inlineStr">
        <is>
          <t>05201000155550-TPT-JAB DINNER-HIMA BINDU BEERAKA</t>
        </is>
      </c>
      <c r="C16" s="14" t="inlineStr">
        <is>
          <t>0000000280657961</t>
        </is>
      </c>
      <c r="D16" s="15" t="inlineStr">
        <is>
          <t>Team Event / Dinner</t>
        </is>
      </c>
      <c r="E16" s="17" t="n">
        <v>20000</v>
      </c>
      <c r="F16" s="38" t="n"/>
      <c r="G16" s="17" t="n">
        <v>90389.72</v>
      </c>
    </row>
    <row r="17" ht="21" customHeight="1">
      <c r="A17" s="9" t="inlineStr">
        <is>
          <t>17/08/26</t>
        </is>
      </c>
      <c r="B17" s="10" t="inlineStr">
        <is>
          <t>NEFT DR-UBIN0928992-DRISYA SASIKUMAR-NETBANK, MUM-HDFCH01200513596-LUNCH PHOTOGRAPHER</t>
        </is>
      </c>
      <c r="C17" s="9" t="inlineStr">
        <is>
          <t>HDFCH01200513596</t>
        </is>
      </c>
      <c r="D17" s="10" t="inlineStr">
        <is>
          <t>Production / Food</t>
        </is>
      </c>
      <c r="E17" s="12" t="n">
        <v>1531</v>
      </c>
      <c r="F17" s="37" t="n"/>
      <c r="G17" s="12" t="n">
        <v>88858.72</v>
      </c>
    </row>
    <row r="18" ht="21" customHeight="1">
      <c r="A18" s="14" t="inlineStr">
        <is>
          <t>18/08/26</t>
        </is>
      </c>
      <c r="B18" s="15" t="inlineStr">
        <is>
          <t>05201000155550-TPT-AIRTEL WIFI-HIMA BINDU BEERAKA</t>
        </is>
      </c>
      <c r="C18" s="14" t="inlineStr">
        <is>
          <t>0000000287526783</t>
        </is>
      </c>
      <c r="D18" s="15" t="inlineStr">
        <is>
          <t>Internet / Utilities</t>
        </is>
      </c>
      <c r="E18" s="17" t="n">
        <v>1296.82</v>
      </c>
      <c r="F18" s="38" t="n"/>
      <c r="G18" s="17" t="n">
        <v>87561.89999999999</v>
      </c>
    </row>
    <row r="19" ht="21" customHeight="1">
      <c r="A19" s="9" t="inlineStr">
        <is>
          <t>18/08/26</t>
        </is>
      </c>
      <c r="B19" s="10" t="inlineStr">
        <is>
          <t>IMPS-623026460475-ALBIN EM-FDRL-XXXXXXXXXX4507-TRANSPORTATION</t>
        </is>
      </c>
      <c r="C19" s="9" t="inlineStr">
        <is>
          <t>0000623026460475</t>
        </is>
      </c>
      <c r="D19" s="10" t="inlineStr">
        <is>
          <t>Travel / Logistics</t>
        </is>
      </c>
      <c r="E19" s="12" t="n">
        <v>500</v>
      </c>
      <c r="F19" s="37" t="n"/>
      <c r="G19" s="12" t="n">
        <v>87061.89999999999</v>
      </c>
    </row>
    <row r="20" ht="21" customHeight="1">
      <c r="A20" s="14" t="inlineStr">
        <is>
          <t>18/08/26</t>
        </is>
      </c>
      <c r="B20" s="15" t="inlineStr">
        <is>
          <t>05201000155550-TPT-PARTNERS EXPENSE-HIMA BINDU BEERAKA</t>
        </is>
      </c>
      <c r="C20" s="14" t="inlineStr">
        <is>
          <t>0000000224381030</t>
        </is>
      </c>
      <c r="D20" s="15" t="inlineStr">
        <is>
          <t>Partner Reimbursement</t>
        </is>
      </c>
      <c r="E20" s="17" t="n">
        <v>4312</v>
      </c>
      <c r="F20" s="38" t="n"/>
      <c r="G20" s="17" t="n">
        <v>82749.89999999999</v>
      </c>
    </row>
    <row r="21" ht="21" customHeight="1">
      <c r="A21" s="9" t="inlineStr">
        <is>
          <t>20/08/26</t>
        </is>
      </c>
      <c r="B21" s="10" t="inlineStr">
        <is>
          <t>NEFT DR-FDRL0007777-ALBIN EM-NETBANK, MUM-HDFCH01205912560-DRILLING MACHINE</t>
        </is>
      </c>
      <c r="C21" s="9" t="inlineStr">
        <is>
          <t>HDFCH01205912560</t>
        </is>
      </c>
      <c r="D21" s="10" t="inlineStr">
        <is>
          <t>Office Equipment</t>
        </is>
      </c>
      <c r="E21" s="12" t="n">
        <v>315</v>
      </c>
      <c r="F21" s="37" t="n"/>
      <c r="G21" s="12" t="n">
        <v>82434.89999999999</v>
      </c>
    </row>
    <row r="22" ht="21" customHeight="1">
      <c r="A22" s="14" t="inlineStr">
        <is>
          <t>20/08/26</t>
        </is>
      </c>
      <c r="B22" s="15" t="inlineStr">
        <is>
          <t>NEFT DR-ICIC0000152-SANKALP SUNIL-NETBANK, MUM-HDFCH01205913615-TEAM DRINKS MOUSE</t>
        </is>
      </c>
      <c r="C22" s="14" t="inlineStr">
        <is>
          <t>HDFCH01205913615</t>
        </is>
      </c>
      <c r="D22" s="15" t="inlineStr">
        <is>
          <t>Team Welfare &amp; Peripherals</t>
        </is>
      </c>
      <c r="E22" s="17" t="n">
        <v>6327</v>
      </c>
      <c r="F22" s="38" t="n"/>
      <c r="G22" s="17" t="n">
        <v>76107.89999999999</v>
      </c>
    </row>
    <row r="23" ht="21" customHeight="1">
      <c r="A23" s="9" t="inlineStr">
        <is>
          <t>20/08/26</t>
        </is>
      </c>
      <c r="B23" s="10" t="inlineStr">
        <is>
          <t>05201000155550-TPT-TEAM EXPENSES-HIMA BINDU BEERAKA</t>
        </is>
      </c>
      <c r="C23" s="9" t="inlineStr">
        <is>
          <t>0000000189375996</t>
        </is>
      </c>
      <c r="D23" s="10" t="inlineStr">
        <is>
          <t>Team Expenses</t>
        </is>
      </c>
      <c r="E23" s="12" t="n">
        <v>5000</v>
      </c>
      <c r="F23" s="37" t="n"/>
      <c r="G23" s="12" t="n">
        <v>71107.89999999999</v>
      </c>
    </row>
    <row r="24" ht="21" customHeight="1">
      <c r="A24" s="32" t="inlineStr">
        <is>
          <t>24/08/26</t>
        </is>
      </c>
      <c r="B24" s="33" t="inlineStr">
        <is>
          <t>NEFT CR-SBIN0071189-NIHARA-JAB MEDIA LAB-SBIN126236816356</t>
        </is>
      </c>
      <c r="C24" s="32" t="inlineStr">
        <is>
          <t>SBIN126236816356</t>
        </is>
      </c>
      <c r="D24" s="33" t="inlineStr">
        <is>
          <t>Client Inflow (Nihara)</t>
        </is>
      </c>
      <c r="E24" s="39" t="n"/>
      <c r="F24" s="34" t="n">
        <v>75400</v>
      </c>
      <c r="G24" s="34" t="n">
        <v>146507.9</v>
      </c>
    </row>
    <row r="25" ht="21" customHeight="1">
      <c r="A25" s="9" t="inlineStr">
        <is>
          <t>27/08/26</t>
        </is>
      </c>
      <c r="B25" s="10" t="inlineStr">
        <is>
          <t>05201000155550-TPT-WALL DISPLAY STAND-HIMA BINDU BEERAKA</t>
        </is>
      </c>
      <c r="C25" s="9" t="inlineStr">
        <is>
          <t>0000000367455922</t>
        </is>
      </c>
      <c r="D25" s="10" t="inlineStr">
        <is>
          <t>Office Setup</t>
        </is>
      </c>
      <c r="E25" s="12" t="n">
        <v>854</v>
      </c>
      <c r="F25" s="37" t="n"/>
      <c r="G25" s="12" t="n">
        <v>145653.9</v>
      </c>
    </row>
    <row r="26" ht="21" customHeight="1">
      <c r="A26" s="32" t="inlineStr">
        <is>
          <t>27/08/26</t>
        </is>
      </c>
      <c r="B26" s="33" t="inlineStr">
        <is>
          <t>FT - CR - 50200111768378 - WELLGENOME BIOTECHNOLOGY PRIVATE LIMITED</t>
        </is>
      </c>
      <c r="C26" s="32" t="inlineStr">
        <is>
          <t>0000000000000179</t>
        </is>
      </c>
      <c r="D26" s="33" t="inlineStr">
        <is>
          <t>Client Inflow (Wellgenome)</t>
        </is>
      </c>
      <c r="E26" s="39" t="n"/>
      <c r="F26" s="34" t="n">
        <v>34800</v>
      </c>
      <c r="G26" s="34" t="n">
        <v>180453.9</v>
      </c>
    </row>
    <row r="27" ht="21" customHeight="1">
      <c r="A27" s="9" t="inlineStr">
        <is>
          <t>29/08/26</t>
        </is>
      </c>
      <c r="B27" s="10" t="inlineStr">
        <is>
          <t>IMPS-624130857127-MAYOORI FURNITURE AND ELECTRONICS-FDRL-XXXXXXXXXX6926-TABLES JAB</t>
        </is>
      </c>
      <c r="C27" s="9" t="inlineStr">
        <is>
          <t>0000624130857127</t>
        </is>
      </c>
      <c r="D27" s="10" t="inlineStr">
        <is>
          <t>Office Furniture</t>
        </is>
      </c>
      <c r="E27" s="12" t="n">
        <v>25500</v>
      </c>
      <c r="F27" s="37" t="n"/>
      <c r="G27" s="12" t="n">
        <v>154953.9</v>
      </c>
    </row>
    <row r="28" ht="21" customHeight="1">
      <c r="A28" s="14" t="inlineStr">
        <is>
          <t>29/08/26</t>
        </is>
      </c>
      <c r="B28" s="15" t="inlineStr">
        <is>
          <t>05201000155550-TPT-HIMA ADV SALARY-HIMA BINDU BEERAKA</t>
        </is>
      </c>
      <c r="C28" s="14" t="inlineStr">
        <is>
          <t>0000000213511176</t>
        </is>
      </c>
      <c r="D28" s="15" t="inlineStr">
        <is>
          <t>Advance Partner Salary</t>
        </is>
      </c>
      <c r="E28" s="17" t="n">
        <v>15000</v>
      </c>
      <c r="F28" s="38" t="n"/>
      <c r="G28" s="17" t="n">
        <v>139953.9</v>
      </c>
    </row>
    <row r="29" ht="25" customHeight="1">
      <c r="A29" s="25" t="inlineStr">
        <is>
          <t>Total</t>
        </is>
      </c>
      <c r="B29" s="26" t="n"/>
      <c r="C29" s="26" t="n"/>
      <c r="D29" s="26" t="n"/>
      <c r="E29" s="27">
        <f>SUM(E5:E28)</f>
        <v/>
      </c>
      <c r="F29" s="27">
        <f>SUM(F5:F28)</f>
        <v/>
      </c>
      <c r="G29" s="27">
        <f>G28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2026-09-11T09:13:47Z</dcterms:created>
  <dcterms:modified xmlns:dcterms="http://purl.org/dc/terms/" xmlns:xsi="http://www.w3.org/2001/XMLSchema-instance" xsi:type="dcterms:W3CDTF">2026-09-11T09:13:47Z</dcterms:modified>
</cp:coreProperties>
</file>